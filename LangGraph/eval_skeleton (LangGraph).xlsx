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lts Input" sheetId="1" state="visible" r:id="rId1"/>
    <sheet xmlns:r="http://schemas.openxmlformats.org/officeDocument/2006/relationships" name="Macro Accuracy &amp; F1 &amp; RAGAS" sheetId="2" state="visible" r:id="rId2"/>
    <sheet xmlns:r="http://schemas.openxmlformats.org/officeDocument/2006/relationships" name="Metrics Summary" sheetId="3" state="visible" r:id="rId3"/>
    <sheet xmlns:r="http://schemas.openxmlformats.org/officeDocument/2006/relationships" name="By Question 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6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b val="1"/>
      <color rgb="FFFFFFFF"/>
      <sz val="9"/>
    </font>
    <font>
      <name val="Calibri"/>
      <color theme="1"/>
      <scheme val="minor"/>
    </font>
    <font>
      <name val="Arial"/>
      <color rgb="FF000000"/>
      <sz val="9"/>
    </font>
    <font>
      <name val="Arial"/>
      <b val="1"/>
      <color rgb="FF3C3489"/>
      <sz val="9"/>
    </font>
    <font>
      <name val="Arial"/>
      <b val="1"/>
      <color rgb="FF085041"/>
      <sz val="9"/>
    </font>
    <font>
      <name val="Arial"/>
      <b val="1"/>
      <color rgb="FF0C447C"/>
      <sz val="9"/>
    </font>
    <font>
      <name val="Arial"/>
      <b val="1"/>
      <color rgb="FFA32D2D"/>
      <sz val="9"/>
    </font>
    <font>
      <name val="Arial"/>
      <b val="1"/>
      <color rgb="FF666666"/>
      <sz val="9"/>
    </font>
    <font>
      <name val="Calibri"/>
      <color theme="1"/>
      <sz val="11"/>
    </font>
    <font>
      <name val="Arial"/>
      <b val="1"/>
      <color rgb="FF3C3489"/>
      <sz val="10"/>
    </font>
    <font>
      <name val="Arial"/>
      <b val="1"/>
      <color rgb="FF000000"/>
      <sz val="9"/>
    </font>
    <font>
      <name val="Arial"/>
      <color rgb="FF000000"/>
      <sz val="10"/>
    </font>
    <font>
      <name val="Arial"/>
      <b val="1"/>
      <color rgb="FF633806"/>
      <sz val="10"/>
    </font>
  </fonts>
  <fills count="18">
    <fill>
      <patternFill/>
    </fill>
    <fill>
      <patternFill patternType="lightGray"/>
    </fill>
    <fill>
      <patternFill patternType="solid">
        <fgColor rgb="FF1E1E2E"/>
        <bgColor rgb="FF1E1E2E"/>
      </patternFill>
    </fill>
    <fill>
      <patternFill patternType="solid">
        <fgColor rgb="FF666666"/>
        <bgColor rgb="FF666666"/>
      </patternFill>
    </fill>
    <fill>
      <patternFill patternType="solid">
        <fgColor rgb="FF2D2D44"/>
        <bgColor rgb="FF2D2D44"/>
      </patternFill>
    </fill>
    <fill>
      <patternFill patternType="solid">
        <fgColor rgb="FF2E4057"/>
        <bgColor rgb="FF2E4057"/>
      </patternFill>
    </fill>
    <fill>
      <patternFill patternType="solid">
        <fgColor rgb="FF0C447C"/>
        <bgColor rgb="FF0C447C"/>
      </patternFill>
    </fill>
    <fill>
      <patternFill patternType="solid">
        <fgColor rgb="FF085041"/>
        <bgColor rgb="FF085041"/>
      </patternFill>
    </fill>
    <fill>
      <patternFill patternType="solid">
        <fgColor rgb="FF633806"/>
        <bgColor rgb="FF633806"/>
      </patternFill>
    </fill>
    <fill>
      <patternFill patternType="solid">
        <fgColor rgb="FFEEEDFE"/>
        <bgColor rgb="FFEEEDFE"/>
      </patternFill>
    </fill>
    <fill>
      <patternFill patternType="solid">
        <fgColor rgb="FFE1F5EE"/>
        <bgColor rgb="FFE1F5EE"/>
      </patternFill>
    </fill>
    <fill>
      <patternFill patternType="solid">
        <fgColor rgb="FFE6F1FB"/>
        <bgColor rgb="FFE6F1FB"/>
      </patternFill>
    </fill>
    <fill>
      <patternFill patternType="solid">
        <fgColor rgb="FFFCEBEB"/>
        <bgColor rgb="FFFCEBEB"/>
      </patternFill>
    </fill>
    <fill>
      <patternFill patternType="solid">
        <fgColor rgb="FFFAEEDA"/>
        <bgColor rgb="FFFAEEDA"/>
      </patternFill>
    </fill>
    <fill>
      <patternFill patternType="solid">
        <fgColor rgb="FFF0F0F5"/>
        <bgColor rgb="FFF0F0F5"/>
      </patternFill>
    </fill>
    <fill>
      <patternFill patternType="solid">
        <fgColor rgb="FF3C3489"/>
        <bgColor rgb="FF3C3489"/>
      </patternFill>
    </fill>
    <fill>
      <patternFill patternType="solid">
        <fgColor rgb="FFA32D2D"/>
        <bgColor rgb="FFA32D2D"/>
      </patternFill>
    </fill>
    <fill>
      <patternFill patternType="solid">
        <fgColor rgb="FFF4F4F6"/>
        <bgColor rgb="FFF4F4F6"/>
      </patternFill>
    </fill>
  </fills>
  <borders count="8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</borders>
  <cellStyleXfs count="1">
    <xf numFmtId="0" fontId="0" fillId="0" borderId="0"/>
  </cellStyleXfs>
  <cellXfs count="7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3" fillId="4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5" fillId="9" borderId="4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left" vertical="center" wrapText="1"/>
    </xf>
    <xf numFmtId="0" fontId="5" fillId="9" borderId="4" applyAlignment="1" pivotButton="0" quotePrefix="0" xfId="0">
      <alignment horizontal="center" vertical="center"/>
    </xf>
    <xf numFmtId="0" fontId="6" fillId="9" borderId="4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8" fillId="11" borderId="4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left" vertical="center"/>
    </xf>
    <xf numFmtId="0" fontId="9" fillId="12" borderId="4" applyAlignment="1" pivotButton="0" quotePrefix="0" xfId="0">
      <alignment horizontal="center" vertical="center" wrapText="1"/>
    </xf>
    <xf numFmtId="0" fontId="5" fillId="11" borderId="4" applyAlignment="1" pivotButton="0" quotePrefix="0" xfId="0">
      <alignment horizontal="center" vertical="center" wrapText="1"/>
    </xf>
    <xf numFmtId="0" fontId="6" fillId="11" borderId="4" applyAlignment="1" pivotButton="0" quotePrefix="0" xfId="0">
      <alignment horizontal="left" vertical="center"/>
    </xf>
    <xf numFmtId="0" fontId="5" fillId="11" borderId="4" applyAlignment="1" pivotButton="0" quotePrefix="0" xfId="0">
      <alignment horizontal="center" vertical="center"/>
    </xf>
    <xf numFmtId="0" fontId="5" fillId="10" borderId="4" applyAlignment="1" pivotButton="0" quotePrefix="0" xfId="0">
      <alignment horizontal="center" vertical="center" wrapText="1"/>
    </xf>
    <xf numFmtId="0" fontId="6" fillId="10" borderId="4" applyAlignment="1" pivotButton="0" quotePrefix="0" xfId="0">
      <alignment horizontal="left" vertical="center" wrapText="1"/>
    </xf>
    <xf numFmtId="0" fontId="5" fillId="10" borderId="4" applyAlignment="1" pivotButton="0" quotePrefix="0" xfId="0">
      <alignment horizontal="center" vertical="center"/>
    </xf>
    <xf numFmtId="0" fontId="5" fillId="13" borderId="4" applyAlignment="1" pivotButton="0" quotePrefix="0" xfId="0">
      <alignment horizontal="center" vertical="center" wrapText="1"/>
    </xf>
    <xf numFmtId="0" fontId="6" fillId="13" borderId="4" applyAlignment="1" pivotButton="0" quotePrefix="0" xfId="0">
      <alignment horizontal="left" vertical="center"/>
    </xf>
    <xf numFmtId="0" fontId="5" fillId="13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15" borderId="4" applyAlignment="1" pivotButton="0" quotePrefix="0" xfId="0">
      <alignment horizontal="center" vertical="center" wrapText="1"/>
    </xf>
    <xf numFmtId="0" fontId="3" fillId="16" borderId="4" applyAlignment="1" pivotButton="0" quotePrefix="0" xfId="0">
      <alignment horizontal="center" vertical="center" wrapText="1"/>
    </xf>
    <xf numFmtId="0" fontId="3" fillId="15" borderId="4" applyAlignment="1" pivotButton="0" quotePrefix="0" xfId="0">
      <alignment horizontal="center" vertical="center" wrapText="1"/>
    </xf>
    <xf numFmtId="164" fontId="11" fillId="0" borderId="4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center" vertical="center" wrapText="1"/>
    </xf>
    <xf numFmtId="0" fontId="6" fillId="11" borderId="4" applyAlignment="1" pivotButton="0" quotePrefix="0" xfId="0">
      <alignment horizontal="left" vertical="center" wrapText="1"/>
    </xf>
    <xf numFmtId="0" fontId="6" fillId="13" borderId="4" applyAlignment="1" pivotButton="0" quotePrefix="0" xfId="0">
      <alignment horizontal="left" vertical="center" wrapText="1"/>
    </xf>
    <xf numFmtId="0" fontId="13" fillId="17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165" fontId="14" fillId="0" borderId="4" applyAlignment="1" pivotButton="0" quotePrefix="0" xfId="0">
      <alignment horizontal="center" vertical="center" wrapText="1"/>
    </xf>
    <xf numFmtId="164" fontId="14" fillId="0" borderId="4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165" fontId="11" fillId="0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4" applyAlignment="1" pivotButton="0" quotePrefix="0" xfId="0">
      <alignment horizontal="center" vertical="center" wrapText="1"/>
    </xf>
    <xf numFmtId="0" fontId="10" fillId="14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baseColWidth="8" defaultColWidth="14.43" defaultRowHeight="15" customHeight="1"/>
  <cols>
    <col width="6" customWidth="1" style="66" min="1" max="1"/>
    <col width="29.14" customWidth="1" style="66" min="2" max="2"/>
    <col width="16.86" customWidth="1" style="66" min="3" max="3"/>
    <col width="7" customWidth="1" style="66" min="4" max="5"/>
    <col width="13" customWidth="1" style="66" min="6" max="6"/>
    <col width="12" customWidth="1" style="66" min="7" max="7"/>
    <col width="13" customWidth="1" style="66" min="8" max="10"/>
    <col width="14" customWidth="1" style="66" min="11" max="11"/>
    <col width="13" customWidth="1" style="66" min="12" max="13"/>
    <col width="12" customWidth="1" style="66" min="14" max="16"/>
    <col width="13" customWidth="1" style="66" min="17" max="17"/>
    <col width="12" customWidth="1" style="66" min="18" max="18"/>
    <col width="8.710000000000001" customWidth="1" style="66" min="19" max="26"/>
  </cols>
  <sheetData>
    <row r="1" ht="33.75" customHeight="1" s="66">
      <c r="A1" s="67" t="inlineStr">
        <is>
          <t xml:space="preserve">GenAI SEC RAG — Evaluation Results Input  |  100 Questions 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9" t="n"/>
    </row>
    <row r="2" ht="21.75" customHeight="1" s="66">
      <c r="A2" s="70" t="inlineStr">
        <is>
          <t>QUESTION METADATA</t>
        </is>
      </c>
      <c r="B2" s="68" t="n"/>
      <c r="C2" s="68" t="n"/>
      <c r="D2" s="68" t="n"/>
      <c r="E2" s="68" t="n"/>
      <c r="F2" s="68" t="n"/>
      <c r="G2" s="69" t="n"/>
      <c r="H2" s="70" t="inlineStr">
        <is>
          <t xml:space="preserve">RETRIEVAL </t>
        </is>
      </c>
      <c r="I2" s="68" t="n"/>
      <c r="J2" s="69" t="n"/>
      <c r="K2" s="70" t="inlineStr">
        <is>
          <t xml:space="preserve">GENERATION </t>
        </is>
      </c>
      <c r="L2" s="68" t="n"/>
      <c r="M2" s="69" t="n"/>
      <c r="N2" s="70" t="inlineStr">
        <is>
          <t>TOKEN MATCH (script)</t>
        </is>
      </c>
      <c r="O2" s="68" t="n"/>
      <c r="P2" s="69" t="n"/>
      <c r="Q2" s="70" t="inlineStr">
        <is>
          <t>AGENTIC / DECISION</t>
        </is>
      </c>
      <c r="R2" s="69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37.5" customHeight="1" s="66">
      <c r="A3" s="7" t="inlineStr">
        <is>
          <t>Q ID</t>
        </is>
      </c>
      <c r="B3" s="7" t="inlineStr">
        <is>
          <t>System</t>
        </is>
      </c>
      <c r="C3" s="8" t="inlineStr">
        <is>
          <t>Company</t>
        </is>
      </c>
      <c r="D3" s="7" t="inlineStr">
        <is>
          <t>Form</t>
        </is>
      </c>
      <c r="E3" s="7" t="inlineStr">
        <is>
          <t>Year</t>
        </is>
      </c>
      <c r="F3" s="7" t="inlineStr">
        <is>
          <t>Q Type</t>
        </is>
      </c>
      <c r="G3" s="7" t="inlineStr">
        <is>
          <t>Expected
Decision</t>
        </is>
      </c>
      <c r="H3" s="9" t="inlineStr">
        <is>
          <t xml:space="preserve">
Precision</t>
        </is>
      </c>
      <c r="I3" s="9" t="inlineStr">
        <is>
          <t xml:space="preserve">
Recall</t>
        </is>
      </c>
      <c r="J3" s="9" t="inlineStr">
        <is>
          <t xml:space="preserve">
Relevancy</t>
        </is>
      </c>
      <c r="K3" s="57" t="inlineStr">
        <is>
          <t>Faithfulness</t>
        </is>
      </c>
      <c r="L3" s="57" t="inlineStr">
        <is>
          <t>Answer
Relevancy</t>
        </is>
      </c>
      <c r="M3" s="57" t="inlineStr">
        <is>
          <t>Hallucination
(↓ lower)</t>
        </is>
      </c>
      <c r="N3" s="58" t="inlineStr">
        <is>
          <t>F1
(Token)</t>
        </is>
      </c>
      <c r="O3" s="58" t="inlineStr">
        <is>
          <t>Precision
(Token)</t>
        </is>
      </c>
      <c r="P3" s="58" t="inlineStr">
        <is>
          <t>Recall
(Token)</t>
        </is>
      </c>
      <c r="Q3" s="12" t="inlineStr">
        <is>
          <t>Task
Completion</t>
        </is>
      </c>
      <c r="R3" s="12" t="inlineStr">
        <is>
          <t>Correct
Answer
(1/0)</t>
        </is>
      </c>
    </row>
    <row r="4" ht="15.75" customHeight="1" s="66">
      <c r="A4" s="13" t="n">
        <v>1</v>
      </c>
      <c r="B4" s="14" t="inlineStr">
        <is>
          <t>Baseline RAG</t>
        </is>
      </c>
      <c r="C4" s="15" t="inlineStr">
        <is>
          <t>Apple</t>
        </is>
      </c>
      <c r="D4" s="13" t="inlineStr">
        <is>
          <t>10-K</t>
        </is>
      </c>
      <c r="E4" s="13" t="n">
        <v>2023</v>
      </c>
      <c r="F4" s="16" t="inlineStr">
        <is>
          <t>extractive</t>
        </is>
      </c>
      <c r="G4" s="17" t="inlineStr">
        <is>
          <t>ANSWER</t>
        </is>
      </c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</row>
    <row r="5" ht="15.75" customHeight="1" s="66">
      <c r="A5" s="13" t="n">
        <v>2</v>
      </c>
      <c r="B5" s="14" t="inlineStr">
        <is>
          <t>Baseline RAG</t>
        </is>
      </c>
      <c r="C5" s="15" t="inlineStr">
        <is>
          <t>Apple</t>
        </is>
      </c>
      <c r="D5" s="13" t="inlineStr">
        <is>
          <t>10-Q</t>
        </is>
      </c>
      <c r="E5" s="13" t="n">
        <v>2025</v>
      </c>
      <c r="F5" s="16" t="inlineStr">
        <is>
          <t>extractive</t>
        </is>
      </c>
      <c r="G5" s="17" t="inlineStr">
        <is>
          <t>ANSWER</t>
        </is>
      </c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</row>
    <row r="6" ht="15.75" customHeight="1" s="66">
      <c r="A6" s="13" t="n">
        <v>3</v>
      </c>
      <c r="B6" s="14" t="inlineStr">
        <is>
          <t>Baseline RAG</t>
        </is>
      </c>
      <c r="C6" s="15" t="inlineStr">
        <is>
          <t>Microsoft</t>
        </is>
      </c>
      <c r="D6" s="13" t="inlineStr">
        <is>
          <t>10-Q</t>
        </is>
      </c>
      <c r="E6" s="13" t="n">
        <v>2023</v>
      </c>
      <c r="F6" s="16" t="inlineStr">
        <is>
          <t>extractive</t>
        </is>
      </c>
      <c r="G6" s="17" t="inlineStr">
        <is>
          <t>ANSWER</t>
        </is>
      </c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</row>
    <row r="7" ht="15.75" customHeight="1" s="66">
      <c r="A7" s="13" t="n">
        <v>4</v>
      </c>
      <c r="B7" s="14" t="inlineStr">
        <is>
          <t>Baseline RAG</t>
        </is>
      </c>
      <c r="C7" s="15" t="inlineStr">
        <is>
          <t>Microsoft</t>
        </is>
      </c>
      <c r="D7" s="13" t="inlineStr">
        <is>
          <t>10-K</t>
        </is>
      </c>
      <c r="E7" s="13" t="n">
        <v>2023</v>
      </c>
      <c r="F7" s="16" t="inlineStr">
        <is>
          <t>extractive</t>
        </is>
      </c>
      <c r="G7" s="17" t="inlineStr">
        <is>
          <t>ANSWER</t>
        </is>
      </c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</row>
    <row r="8" ht="15.75" customHeight="1" s="66">
      <c r="A8" s="13" t="n">
        <v>5</v>
      </c>
      <c r="B8" s="14" t="inlineStr">
        <is>
          <t>Baseline RAG</t>
        </is>
      </c>
      <c r="C8" s="15" t="inlineStr">
        <is>
          <t>NVIDIA</t>
        </is>
      </c>
      <c r="D8" s="13" t="inlineStr">
        <is>
          <t>10-K</t>
        </is>
      </c>
      <c r="E8" s="13" t="n">
        <v>2025</v>
      </c>
      <c r="F8" s="16" t="inlineStr">
        <is>
          <t>extractive</t>
        </is>
      </c>
      <c r="G8" s="17" t="inlineStr">
        <is>
          <t>ANSWER</t>
        </is>
      </c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</row>
    <row r="9" ht="15.75" customHeight="1" s="66">
      <c r="A9" s="13" t="n">
        <v>6</v>
      </c>
      <c r="B9" s="14" t="inlineStr">
        <is>
          <t>Baseline RAG</t>
        </is>
      </c>
      <c r="C9" s="15" t="inlineStr">
        <is>
          <t>NVIDIA</t>
        </is>
      </c>
      <c r="D9" s="13" t="inlineStr">
        <is>
          <t>10-K</t>
        </is>
      </c>
      <c r="E9" s="13" t="n">
        <v>2024</v>
      </c>
      <c r="F9" s="16" t="inlineStr">
        <is>
          <t>extractive</t>
        </is>
      </c>
      <c r="G9" s="17" t="inlineStr">
        <is>
          <t>ANSWER</t>
        </is>
      </c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</row>
    <row r="10" ht="15.75" customHeight="1" s="66">
      <c r="A10" s="13" t="n">
        <v>7</v>
      </c>
      <c r="B10" s="14" t="inlineStr">
        <is>
          <t>Baseline RAG</t>
        </is>
      </c>
      <c r="C10" s="15" t="inlineStr">
        <is>
          <t>NVIDIA</t>
        </is>
      </c>
      <c r="D10" s="13" t="inlineStr">
        <is>
          <t>10-K</t>
        </is>
      </c>
      <c r="E10" s="13" t="n">
        <v>2025</v>
      </c>
      <c r="F10" s="16" t="inlineStr">
        <is>
          <t>extractive</t>
        </is>
      </c>
      <c r="G10" s="17" t="inlineStr">
        <is>
          <t>ANSWER</t>
        </is>
      </c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</row>
    <row r="11" ht="15.75" customHeight="1" s="66">
      <c r="A11" s="13" t="n">
        <v>8</v>
      </c>
      <c r="B11" s="14" t="inlineStr">
        <is>
          <t>Baseline RAG</t>
        </is>
      </c>
      <c r="C11" s="15" t="inlineStr">
        <is>
          <t>JPMorgan Chase</t>
        </is>
      </c>
      <c r="D11" s="13" t="inlineStr">
        <is>
          <t>10-K</t>
        </is>
      </c>
      <c r="E11" s="13" t="n">
        <v>2023</v>
      </c>
      <c r="F11" s="16" t="inlineStr">
        <is>
          <t>extractive</t>
        </is>
      </c>
      <c r="G11" s="17" t="inlineStr">
        <is>
          <t>ANSWER</t>
        </is>
      </c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</row>
    <row r="12" ht="15.75" customHeight="1" s="66">
      <c r="A12" s="13" t="n">
        <v>9</v>
      </c>
      <c r="B12" s="14" t="inlineStr">
        <is>
          <t>Baseline RAG</t>
        </is>
      </c>
      <c r="C12" s="15" t="inlineStr">
        <is>
          <t>JPMorgan Chase</t>
        </is>
      </c>
      <c r="D12" s="13" t="inlineStr">
        <is>
          <t>10-K</t>
        </is>
      </c>
      <c r="E12" s="13" t="n">
        <v>2024</v>
      </c>
      <c r="F12" s="16" t="inlineStr">
        <is>
          <t>extractive</t>
        </is>
      </c>
      <c r="G12" s="17" t="inlineStr">
        <is>
          <t>ANSWER</t>
        </is>
      </c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</row>
    <row r="13" ht="15.75" customHeight="1" s="66">
      <c r="A13" s="13" t="n">
        <v>10</v>
      </c>
      <c r="B13" s="14" t="inlineStr">
        <is>
          <t>Baseline RAG</t>
        </is>
      </c>
      <c r="C13" s="15" t="inlineStr">
        <is>
          <t>Bank of America</t>
        </is>
      </c>
      <c r="D13" s="13" t="inlineStr">
        <is>
          <t>10-Q</t>
        </is>
      </c>
      <c r="E13" s="13" t="n">
        <v>2025</v>
      </c>
      <c r="F13" s="16" t="inlineStr">
        <is>
          <t>extractive</t>
        </is>
      </c>
      <c r="G13" s="17" t="inlineStr">
        <is>
          <t>ANSWER</t>
        </is>
      </c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</row>
    <row r="14" ht="15.75" customHeight="1" s="66">
      <c r="A14" s="13" t="n">
        <v>11</v>
      </c>
      <c r="B14" s="14" t="inlineStr">
        <is>
          <t>Baseline RAG</t>
        </is>
      </c>
      <c r="C14" s="15" t="inlineStr">
        <is>
          <t>Bank of America</t>
        </is>
      </c>
      <c r="D14" s="13" t="inlineStr">
        <is>
          <t>10-K</t>
        </is>
      </c>
      <c r="E14" s="13" t="n">
        <v>2024</v>
      </c>
      <c r="F14" s="16" t="inlineStr">
        <is>
          <t>extractive</t>
        </is>
      </c>
      <c r="G14" s="17" t="inlineStr">
        <is>
          <t>ANSWER</t>
        </is>
      </c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</row>
    <row r="15" ht="15.75" customHeight="1" s="66">
      <c r="A15" s="13" t="n">
        <v>12</v>
      </c>
      <c r="B15" s="14" t="inlineStr">
        <is>
          <t>Baseline RAG</t>
        </is>
      </c>
      <c r="C15" s="15" t="inlineStr">
        <is>
          <t>Berkshire Hathaway</t>
        </is>
      </c>
      <c r="D15" s="13" t="inlineStr">
        <is>
          <t>10-K</t>
        </is>
      </c>
      <c r="E15" s="13" t="n">
        <v>2025</v>
      </c>
      <c r="F15" s="16" t="inlineStr">
        <is>
          <t>extractive</t>
        </is>
      </c>
      <c r="G15" s="17" t="inlineStr">
        <is>
          <t>ANSWER</t>
        </is>
      </c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</row>
    <row r="16" ht="15.75" customHeight="1" s="66">
      <c r="A16" s="13" t="n">
        <v>13</v>
      </c>
      <c r="B16" s="14" t="inlineStr">
        <is>
          <t>Baseline RAG</t>
        </is>
      </c>
      <c r="C16" s="15" t="inlineStr">
        <is>
          <t>Berkshire Hathaway</t>
        </is>
      </c>
      <c r="D16" s="13" t="inlineStr">
        <is>
          <t>10-Q</t>
        </is>
      </c>
      <c r="E16" s="13" t="n">
        <v>2023</v>
      </c>
      <c r="F16" s="16" t="inlineStr">
        <is>
          <t>extractive</t>
        </is>
      </c>
      <c r="G16" s="17" t="inlineStr">
        <is>
          <t>ANSWER</t>
        </is>
      </c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</row>
    <row r="17" ht="15.75" customHeight="1" s="66">
      <c r="A17" s="13" t="n">
        <v>14</v>
      </c>
      <c r="B17" s="14" t="inlineStr">
        <is>
          <t>Baseline RAG</t>
        </is>
      </c>
      <c r="C17" s="15" t="inlineStr">
        <is>
          <t>Johnson &amp; Johnson</t>
        </is>
      </c>
      <c r="D17" s="13" t="inlineStr">
        <is>
          <t>10-Q</t>
        </is>
      </c>
      <c r="E17" s="13" t="n">
        <v>2025</v>
      </c>
      <c r="F17" s="16" t="inlineStr">
        <is>
          <t>extractive</t>
        </is>
      </c>
      <c r="G17" s="17" t="inlineStr">
        <is>
          <t>ANSWER</t>
        </is>
      </c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</row>
    <row r="18" ht="15.75" customHeight="1" s="66">
      <c r="A18" s="13" t="n">
        <v>15</v>
      </c>
      <c r="B18" s="14" t="inlineStr">
        <is>
          <t>Baseline RAG</t>
        </is>
      </c>
      <c r="C18" s="15" t="inlineStr">
        <is>
          <t>Johnson &amp; Johnson</t>
        </is>
      </c>
      <c r="D18" s="13" t="inlineStr">
        <is>
          <t>10-K</t>
        </is>
      </c>
      <c r="E18" s="13" t="n">
        <v>2025</v>
      </c>
      <c r="F18" s="16" t="inlineStr">
        <is>
          <t>extractive</t>
        </is>
      </c>
      <c r="G18" s="17" t="inlineStr">
        <is>
          <t>ANSWER</t>
        </is>
      </c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</row>
    <row r="19" ht="15.75" customHeight="1" s="66">
      <c r="A19" s="13" t="n">
        <v>16</v>
      </c>
      <c r="B19" s="14" t="inlineStr">
        <is>
          <t>Baseline RAG</t>
        </is>
      </c>
      <c r="C19" s="15" t="inlineStr">
        <is>
          <t>UnitedHealth Group</t>
        </is>
      </c>
      <c r="D19" s="13" t="inlineStr">
        <is>
          <t>10-Q</t>
        </is>
      </c>
      <c r="E19" s="13" t="n">
        <v>2024</v>
      </c>
      <c r="F19" s="16" t="inlineStr">
        <is>
          <t>extractive</t>
        </is>
      </c>
      <c r="G19" s="17" t="inlineStr">
        <is>
          <t>ANSWER</t>
        </is>
      </c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</row>
    <row r="20" ht="15.75" customHeight="1" s="66">
      <c r="A20" s="13" t="n">
        <v>17</v>
      </c>
      <c r="B20" s="14" t="inlineStr">
        <is>
          <t>Baseline RAG</t>
        </is>
      </c>
      <c r="C20" s="15" t="inlineStr">
        <is>
          <t>UnitedHealth Group</t>
        </is>
      </c>
      <c r="D20" s="13" t="inlineStr">
        <is>
          <t>10-K</t>
        </is>
      </c>
      <c r="E20" s="13" t="n">
        <v>2023</v>
      </c>
      <c r="F20" s="16" t="inlineStr">
        <is>
          <t>extractive</t>
        </is>
      </c>
      <c r="G20" s="17" t="inlineStr">
        <is>
          <t>ANSWER</t>
        </is>
      </c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</row>
    <row r="21" ht="15.75" customHeight="1" s="66">
      <c r="A21" s="13" t="n">
        <v>18</v>
      </c>
      <c r="B21" s="14" t="inlineStr">
        <is>
          <t>Baseline RAG</t>
        </is>
      </c>
      <c r="C21" s="15" t="inlineStr">
        <is>
          <t>Exxon Mobil</t>
        </is>
      </c>
      <c r="D21" s="13" t="inlineStr">
        <is>
          <t>10-K</t>
        </is>
      </c>
      <c r="E21" s="13" t="n">
        <v>2023</v>
      </c>
      <c r="F21" s="16" t="inlineStr">
        <is>
          <t>extractive</t>
        </is>
      </c>
      <c r="G21" s="17" t="inlineStr">
        <is>
          <t>ANSWER</t>
        </is>
      </c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</row>
    <row r="22" ht="15.75" customHeight="1" s="66">
      <c r="A22" s="13" t="n">
        <v>19</v>
      </c>
      <c r="B22" s="14" t="inlineStr">
        <is>
          <t>Baseline RAG</t>
        </is>
      </c>
      <c r="C22" s="15" t="inlineStr">
        <is>
          <t>Exxon Mobil</t>
        </is>
      </c>
      <c r="D22" s="13" t="inlineStr">
        <is>
          <t>10-Q</t>
        </is>
      </c>
      <c r="E22" s="13" t="n">
        <v>2025</v>
      </c>
      <c r="F22" s="16" t="inlineStr">
        <is>
          <t>extractive</t>
        </is>
      </c>
      <c r="G22" s="17" t="inlineStr">
        <is>
          <t>ANSWER</t>
        </is>
      </c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</row>
    <row r="23" ht="15.75" customHeight="1" s="66">
      <c r="A23" s="13" t="n">
        <v>20</v>
      </c>
      <c r="B23" s="14" t="inlineStr">
        <is>
          <t>Baseline RAG</t>
        </is>
      </c>
      <c r="C23" s="15" t="inlineStr">
        <is>
          <t>Chevron</t>
        </is>
      </c>
      <c r="D23" s="13" t="inlineStr">
        <is>
          <t>10-Q</t>
        </is>
      </c>
      <c r="E23" s="13" t="n">
        <v>2024</v>
      </c>
      <c r="F23" s="16" t="inlineStr">
        <is>
          <t>extractive</t>
        </is>
      </c>
      <c r="G23" s="17" t="inlineStr">
        <is>
          <t>ANSWER</t>
        </is>
      </c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</row>
    <row r="24" ht="15.75" customHeight="1" s="66">
      <c r="A24" s="13" t="n">
        <v>21</v>
      </c>
      <c r="B24" s="14" t="inlineStr">
        <is>
          <t>Baseline RAG</t>
        </is>
      </c>
      <c r="C24" s="15" t="inlineStr">
        <is>
          <t>Chevron</t>
        </is>
      </c>
      <c r="D24" s="13" t="inlineStr">
        <is>
          <t>10-K</t>
        </is>
      </c>
      <c r="E24" s="13" t="n">
        <v>2025</v>
      </c>
      <c r="F24" s="16" t="inlineStr">
        <is>
          <t>extractive</t>
        </is>
      </c>
      <c r="G24" s="17" t="inlineStr">
        <is>
          <t>ANSWER</t>
        </is>
      </c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</row>
    <row r="25" ht="15.75" customHeight="1" s="66">
      <c r="A25" s="13" t="n">
        <v>22</v>
      </c>
      <c r="B25" s="14" t="inlineStr">
        <is>
          <t>Baseline RAG</t>
        </is>
      </c>
      <c r="C25" s="15" t="inlineStr">
        <is>
          <t>Walmart</t>
        </is>
      </c>
      <c r="D25" s="13" t="inlineStr">
        <is>
          <t>10-Q</t>
        </is>
      </c>
      <c r="E25" s="13" t="n">
        <v>2023</v>
      </c>
      <c r="F25" s="16" t="inlineStr">
        <is>
          <t>extractive</t>
        </is>
      </c>
      <c r="G25" s="17" t="inlineStr">
        <is>
          <t>ANSWER</t>
        </is>
      </c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</row>
    <row r="26" ht="15.75" customHeight="1" s="66">
      <c r="A26" s="13" t="n">
        <v>23</v>
      </c>
      <c r="B26" s="14" t="inlineStr">
        <is>
          <t>Baseline RAG</t>
        </is>
      </c>
      <c r="C26" s="15" t="inlineStr">
        <is>
          <t>Walmart</t>
        </is>
      </c>
      <c r="D26" s="13" t="inlineStr">
        <is>
          <t>10-K</t>
        </is>
      </c>
      <c r="E26" s="13" t="n">
        <v>2024</v>
      </c>
      <c r="F26" s="16" t="inlineStr">
        <is>
          <t>extractive</t>
        </is>
      </c>
      <c r="G26" s="17" t="inlineStr">
        <is>
          <t>ANSWER</t>
        </is>
      </c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</row>
    <row r="27" ht="15.75" customHeight="1" s="66">
      <c r="A27" s="13" t="n">
        <v>24</v>
      </c>
      <c r="B27" s="14" t="inlineStr">
        <is>
          <t>Baseline RAG</t>
        </is>
      </c>
      <c r="C27" s="15" t="inlineStr">
        <is>
          <t>Costco</t>
        </is>
      </c>
      <c r="D27" s="13" t="inlineStr">
        <is>
          <t>10-K</t>
        </is>
      </c>
      <c r="E27" s="13" t="n">
        <v>2025</v>
      </c>
      <c r="F27" s="16" t="inlineStr">
        <is>
          <t>extractive</t>
        </is>
      </c>
      <c r="G27" s="17" t="inlineStr">
        <is>
          <t>ANSWER</t>
        </is>
      </c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</row>
    <row r="28" ht="15.75" customHeight="1" s="66">
      <c r="A28" s="13" t="n">
        <v>25</v>
      </c>
      <c r="B28" s="14" t="inlineStr">
        <is>
          <t>Baseline RAG</t>
        </is>
      </c>
      <c r="C28" s="15" t="inlineStr">
        <is>
          <t>Costco</t>
        </is>
      </c>
      <c r="D28" s="13" t="inlineStr">
        <is>
          <t>10-Q</t>
        </is>
      </c>
      <c r="E28" s="13" t="n">
        <v>2023</v>
      </c>
      <c r="F28" s="16" t="inlineStr">
        <is>
          <t>extractive</t>
        </is>
      </c>
      <c r="G28" s="17" t="inlineStr">
        <is>
          <t>ANSWER</t>
        </is>
      </c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</row>
    <row r="29" ht="15.75" customHeight="1" s="66">
      <c r="A29" s="13" t="n">
        <v>26</v>
      </c>
      <c r="B29" s="14" t="inlineStr">
        <is>
          <t>Baseline RAG</t>
        </is>
      </c>
      <c r="C29" s="15" t="inlineStr">
        <is>
          <t>Apple</t>
        </is>
      </c>
      <c r="D29" s="13" t="inlineStr">
        <is>
          <t>10-K</t>
        </is>
      </c>
      <c r="E29" s="13" t="n">
        <v>2023</v>
      </c>
      <c r="F29" s="19" t="inlineStr">
        <is>
          <t>paraphrased</t>
        </is>
      </c>
      <c r="G29" s="17" t="inlineStr">
        <is>
          <t>ANSWER</t>
        </is>
      </c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</row>
    <row r="30" ht="15.75" customHeight="1" s="66">
      <c r="A30" s="13" t="n">
        <v>27</v>
      </c>
      <c r="B30" s="14" t="inlineStr">
        <is>
          <t>Baseline RAG</t>
        </is>
      </c>
      <c r="C30" s="15" t="inlineStr">
        <is>
          <t>Apple</t>
        </is>
      </c>
      <c r="D30" s="13" t="inlineStr">
        <is>
          <t>10-Q</t>
        </is>
      </c>
      <c r="E30" s="13" t="n">
        <v>2025</v>
      </c>
      <c r="F30" s="19" t="inlineStr">
        <is>
          <t>paraphrased</t>
        </is>
      </c>
      <c r="G30" s="17" t="inlineStr">
        <is>
          <t>ANSWER</t>
        </is>
      </c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</row>
    <row r="31" ht="15.75" customHeight="1" s="66">
      <c r="A31" s="13" t="n">
        <v>28</v>
      </c>
      <c r="B31" s="14" t="inlineStr">
        <is>
          <t>Baseline RAG</t>
        </is>
      </c>
      <c r="C31" s="15" t="inlineStr">
        <is>
          <t>Microsoft</t>
        </is>
      </c>
      <c r="D31" s="13" t="inlineStr">
        <is>
          <t>10-Q</t>
        </is>
      </c>
      <c r="E31" s="13" t="n">
        <v>2023</v>
      </c>
      <c r="F31" s="19" t="inlineStr">
        <is>
          <t>paraphrased</t>
        </is>
      </c>
      <c r="G31" s="17" t="inlineStr">
        <is>
          <t>ANSWER</t>
        </is>
      </c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</row>
    <row r="32" ht="15.75" customHeight="1" s="66">
      <c r="A32" s="13" t="n">
        <v>29</v>
      </c>
      <c r="B32" s="14" t="inlineStr">
        <is>
          <t>Baseline RAG</t>
        </is>
      </c>
      <c r="C32" s="15" t="inlineStr">
        <is>
          <t>Microsoft</t>
        </is>
      </c>
      <c r="D32" s="13" t="inlineStr">
        <is>
          <t>10-K</t>
        </is>
      </c>
      <c r="E32" s="13" t="n">
        <v>2023</v>
      </c>
      <c r="F32" s="19" t="inlineStr">
        <is>
          <t>paraphrased</t>
        </is>
      </c>
      <c r="G32" s="17" t="inlineStr">
        <is>
          <t>ANSWER</t>
        </is>
      </c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</row>
    <row r="33" ht="15.75" customHeight="1" s="66">
      <c r="A33" s="13" t="n">
        <v>30</v>
      </c>
      <c r="B33" s="14" t="inlineStr">
        <is>
          <t>Baseline RAG</t>
        </is>
      </c>
      <c r="C33" s="15" t="inlineStr">
        <is>
          <t>NVIDIA</t>
        </is>
      </c>
      <c r="D33" s="13" t="inlineStr">
        <is>
          <t>10-K</t>
        </is>
      </c>
      <c r="E33" s="13" t="n">
        <v>2025</v>
      </c>
      <c r="F33" s="19" t="inlineStr">
        <is>
          <t>paraphrased</t>
        </is>
      </c>
      <c r="G33" s="17" t="inlineStr">
        <is>
          <t>ANSWER</t>
        </is>
      </c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</row>
    <row r="34" ht="15.75" customHeight="1" s="66">
      <c r="A34" s="13" t="n">
        <v>31</v>
      </c>
      <c r="B34" s="20" t="inlineStr">
        <is>
          <t>Baseline RAG</t>
        </is>
      </c>
      <c r="C34" s="15" t="inlineStr">
        <is>
          <t>NVIDIA</t>
        </is>
      </c>
      <c r="D34" s="13" t="inlineStr">
        <is>
          <t>10-K</t>
        </is>
      </c>
      <c r="E34" s="13" t="n">
        <v>2024</v>
      </c>
      <c r="F34" s="19" t="inlineStr">
        <is>
          <t>paraphrased</t>
        </is>
      </c>
      <c r="G34" s="17" t="inlineStr">
        <is>
          <t>ANSWER</t>
        </is>
      </c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</row>
    <row r="35" ht="15.75" customHeight="1" s="66">
      <c r="A35" s="13" t="n">
        <v>32</v>
      </c>
      <c r="B35" s="20" t="inlineStr">
        <is>
          <t>Baseline RAG</t>
        </is>
      </c>
      <c r="C35" s="15" t="inlineStr">
        <is>
          <t>NVIDIA</t>
        </is>
      </c>
      <c r="D35" s="13" t="inlineStr">
        <is>
          <t>10-K</t>
        </is>
      </c>
      <c r="E35" s="13" t="n">
        <v>2025</v>
      </c>
      <c r="F35" s="19" t="inlineStr">
        <is>
          <t>paraphrased</t>
        </is>
      </c>
      <c r="G35" s="17" t="inlineStr">
        <is>
          <t>ANSWER</t>
        </is>
      </c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</row>
    <row r="36" ht="15.75" customHeight="1" s="66">
      <c r="A36" s="13" t="n">
        <v>33</v>
      </c>
      <c r="B36" s="20" t="inlineStr">
        <is>
          <t>Baseline RAG</t>
        </is>
      </c>
      <c r="C36" s="15" t="inlineStr">
        <is>
          <t>JPMorgan Chase</t>
        </is>
      </c>
      <c r="D36" s="13" t="inlineStr">
        <is>
          <t>10-K</t>
        </is>
      </c>
      <c r="E36" s="13" t="n">
        <v>2023</v>
      </c>
      <c r="F36" s="19" t="inlineStr">
        <is>
          <t>paraphrased</t>
        </is>
      </c>
      <c r="G36" s="17" t="inlineStr">
        <is>
          <t>ANSWER</t>
        </is>
      </c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</row>
    <row r="37" ht="15.75" customHeight="1" s="66">
      <c r="A37" s="13" t="n">
        <v>34</v>
      </c>
      <c r="B37" s="20" t="inlineStr">
        <is>
          <t>Baseline RAG</t>
        </is>
      </c>
      <c r="C37" s="15" t="inlineStr">
        <is>
          <t>JPMorgan Chase</t>
        </is>
      </c>
      <c r="D37" s="13" t="inlineStr">
        <is>
          <t>10-K</t>
        </is>
      </c>
      <c r="E37" s="13" t="n">
        <v>2024</v>
      </c>
      <c r="F37" s="19" t="inlineStr">
        <is>
          <t>paraphrased</t>
        </is>
      </c>
      <c r="G37" s="17" t="inlineStr">
        <is>
          <t>ANSWER</t>
        </is>
      </c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</row>
    <row r="38" ht="15.75" customHeight="1" s="66">
      <c r="A38" s="13" t="n">
        <v>35</v>
      </c>
      <c r="B38" s="20" t="inlineStr">
        <is>
          <t>Baseline RAG</t>
        </is>
      </c>
      <c r="C38" s="15" t="inlineStr">
        <is>
          <t>Bank of America</t>
        </is>
      </c>
      <c r="D38" s="13" t="inlineStr">
        <is>
          <t>10-Q</t>
        </is>
      </c>
      <c r="E38" s="13" t="n">
        <v>2025</v>
      </c>
      <c r="F38" s="19" t="inlineStr">
        <is>
          <t>paraphrased</t>
        </is>
      </c>
      <c r="G38" s="17" t="inlineStr">
        <is>
          <t>ANSWER</t>
        </is>
      </c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</row>
    <row r="39" ht="15.75" customHeight="1" s="66">
      <c r="A39" s="13" t="n">
        <v>36</v>
      </c>
      <c r="B39" s="20" t="inlineStr">
        <is>
          <t>Baseline RAG</t>
        </is>
      </c>
      <c r="C39" s="15" t="inlineStr">
        <is>
          <t>Bank of America</t>
        </is>
      </c>
      <c r="D39" s="13" t="inlineStr">
        <is>
          <t>10-K</t>
        </is>
      </c>
      <c r="E39" s="13" t="n">
        <v>2024</v>
      </c>
      <c r="F39" s="19" t="inlineStr">
        <is>
          <t>paraphrased</t>
        </is>
      </c>
      <c r="G39" s="17" t="inlineStr">
        <is>
          <t>ANSWER</t>
        </is>
      </c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</row>
    <row r="40" ht="15.75" customHeight="1" s="66">
      <c r="A40" s="13" t="n">
        <v>37</v>
      </c>
      <c r="B40" s="20" t="inlineStr">
        <is>
          <t>Baseline RAG</t>
        </is>
      </c>
      <c r="C40" s="15" t="inlineStr">
        <is>
          <t>Berkshire Hathaway</t>
        </is>
      </c>
      <c r="D40" s="13" t="inlineStr">
        <is>
          <t>10-K</t>
        </is>
      </c>
      <c r="E40" s="13" t="n">
        <v>2025</v>
      </c>
      <c r="F40" s="19" t="inlineStr">
        <is>
          <t>paraphrased</t>
        </is>
      </c>
      <c r="G40" s="17" t="inlineStr">
        <is>
          <t>ANSWER</t>
        </is>
      </c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</row>
    <row r="41" ht="15.75" customHeight="1" s="66">
      <c r="A41" s="13" t="n">
        <v>38</v>
      </c>
      <c r="B41" s="20" t="inlineStr">
        <is>
          <t>Baseline RAG</t>
        </is>
      </c>
      <c r="C41" s="15" t="inlineStr">
        <is>
          <t>Berkshire Hathaway</t>
        </is>
      </c>
      <c r="D41" s="13" t="inlineStr">
        <is>
          <t>10-Q</t>
        </is>
      </c>
      <c r="E41" s="13" t="n">
        <v>2023</v>
      </c>
      <c r="F41" s="19" t="inlineStr">
        <is>
          <t>paraphrased</t>
        </is>
      </c>
      <c r="G41" s="17" t="inlineStr">
        <is>
          <t>ANSWER</t>
        </is>
      </c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</row>
    <row r="42" ht="15.75" customHeight="1" s="66">
      <c r="A42" s="13" t="n">
        <v>39</v>
      </c>
      <c r="B42" s="20" t="inlineStr">
        <is>
          <t>Baseline RAG</t>
        </is>
      </c>
      <c r="C42" s="15" t="inlineStr">
        <is>
          <t>Johnson &amp; Johnson</t>
        </is>
      </c>
      <c r="D42" s="13" t="inlineStr">
        <is>
          <t>10-Q</t>
        </is>
      </c>
      <c r="E42" s="13" t="n">
        <v>2025</v>
      </c>
      <c r="F42" s="19" t="inlineStr">
        <is>
          <t>paraphrased</t>
        </is>
      </c>
      <c r="G42" s="17" t="inlineStr">
        <is>
          <t>ANSWER</t>
        </is>
      </c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</row>
    <row r="43" ht="15.75" customHeight="1" s="66">
      <c r="A43" s="13" t="n">
        <v>40</v>
      </c>
      <c r="B43" s="20" t="inlineStr">
        <is>
          <t>Baseline RAG</t>
        </is>
      </c>
      <c r="C43" s="15" t="inlineStr">
        <is>
          <t>Johnson &amp; Johnson</t>
        </is>
      </c>
      <c r="D43" s="13" t="inlineStr">
        <is>
          <t>10-K</t>
        </is>
      </c>
      <c r="E43" s="13" t="n">
        <v>2025</v>
      </c>
      <c r="F43" s="19" t="inlineStr">
        <is>
          <t>paraphrased</t>
        </is>
      </c>
      <c r="G43" s="17" t="inlineStr">
        <is>
          <t>ANSWER</t>
        </is>
      </c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</row>
    <row r="44" ht="15.75" customHeight="1" s="66">
      <c r="A44" s="13" t="n">
        <v>41</v>
      </c>
      <c r="B44" s="20" t="inlineStr">
        <is>
          <t>Baseline RAG</t>
        </is>
      </c>
      <c r="C44" s="15" t="inlineStr">
        <is>
          <t>UnitedHealth Group</t>
        </is>
      </c>
      <c r="D44" s="13" t="inlineStr">
        <is>
          <t>10-Q</t>
        </is>
      </c>
      <c r="E44" s="13" t="n">
        <v>2024</v>
      </c>
      <c r="F44" s="19" t="inlineStr">
        <is>
          <t>paraphrased</t>
        </is>
      </c>
      <c r="G44" s="17" t="inlineStr">
        <is>
          <t>ANSWER</t>
        </is>
      </c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</row>
    <row r="45" ht="15.75" customHeight="1" s="66">
      <c r="A45" s="13" t="n">
        <v>42</v>
      </c>
      <c r="B45" s="20" t="inlineStr">
        <is>
          <t>Baseline RAG</t>
        </is>
      </c>
      <c r="C45" s="15" t="inlineStr">
        <is>
          <t>UnitedHealth Group</t>
        </is>
      </c>
      <c r="D45" s="13" t="inlineStr">
        <is>
          <t>10-K</t>
        </is>
      </c>
      <c r="E45" s="13" t="n">
        <v>2023</v>
      </c>
      <c r="F45" s="19" t="inlineStr">
        <is>
          <t>paraphrased</t>
        </is>
      </c>
      <c r="G45" s="17" t="inlineStr">
        <is>
          <t>ANSWER</t>
        </is>
      </c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</row>
    <row r="46" ht="15.75" customHeight="1" s="66">
      <c r="A46" s="13" t="n">
        <v>43</v>
      </c>
      <c r="B46" s="20" t="inlineStr">
        <is>
          <t>Baseline RAG</t>
        </is>
      </c>
      <c r="C46" s="15" t="inlineStr">
        <is>
          <t>Exxon Mobil</t>
        </is>
      </c>
      <c r="D46" s="13" t="inlineStr">
        <is>
          <t>10-K</t>
        </is>
      </c>
      <c r="E46" s="13" t="n">
        <v>2023</v>
      </c>
      <c r="F46" s="19" t="inlineStr">
        <is>
          <t>paraphrased</t>
        </is>
      </c>
      <c r="G46" s="17" t="inlineStr">
        <is>
          <t>ANSWER</t>
        </is>
      </c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</row>
    <row r="47" ht="15.75" customHeight="1" s="66">
      <c r="A47" s="13" t="n">
        <v>44</v>
      </c>
      <c r="B47" s="20" t="inlineStr">
        <is>
          <t>Baseline RAG</t>
        </is>
      </c>
      <c r="C47" s="15" t="inlineStr">
        <is>
          <t>Exxon Mobil</t>
        </is>
      </c>
      <c r="D47" s="13" t="inlineStr">
        <is>
          <t>10-Q</t>
        </is>
      </c>
      <c r="E47" s="13" t="n">
        <v>2025</v>
      </c>
      <c r="F47" s="19" t="inlineStr">
        <is>
          <t>paraphrased</t>
        </is>
      </c>
      <c r="G47" s="17" t="inlineStr">
        <is>
          <t>ANSWER</t>
        </is>
      </c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</row>
    <row r="48" ht="15.75" customHeight="1" s="66">
      <c r="A48" s="13" t="n">
        <v>45</v>
      </c>
      <c r="B48" s="20" t="inlineStr">
        <is>
          <t>Baseline RAG</t>
        </is>
      </c>
      <c r="C48" s="15" t="inlineStr">
        <is>
          <t>Chevron</t>
        </is>
      </c>
      <c r="D48" s="13" t="inlineStr">
        <is>
          <t>10-Q</t>
        </is>
      </c>
      <c r="E48" s="13" t="n">
        <v>2024</v>
      </c>
      <c r="F48" s="19" t="inlineStr">
        <is>
          <t>paraphrased</t>
        </is>
      </c>
      <c r="G48" s="17" t="inlineStr">
        <is>
          <t>ANSWER</t>
        </is>
      </c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</row>
    <row r="49" ht="15.75" customHeight="1" s="66">
      <c r="A49" s="13" t="n">
        <v>46</v>
      </c>
      <c r="B49" s="20" t="inlineStr">
        <is>
          <t>Baseline RAG</t>
        </is>
      </c>
      <c r="C49" s="15" t="inlineStr">
        <is>
          <t>Chevron</t>
        </is>
      </c>
      <c r="D49" s="13" t="inlineStr">
        <is>
          <t>10-K</t>
        </is>
      </c>
      <c r="E49" s="13" t="n">
        <v>2025</v>
      </c>
      <c r="F49" s="19" t="inlineStr">
        <is>
          <t>paraphrased</t>
        </is>
      </c>
      <c r="G49" s="17" t="inlineStr">
        <is>
          <t>ANSWER</t>
        </is>
      </c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</row>
    <row r="50" ht="15.75" customHeight="1" s="66">
      <c r="A50" s="13" t="n">
        <v>47</v>
      </c>
      <c r="B50" s="20" t="inlineStr">
        <is>
          <t>Baseline RAG</t>
        </is>
      </c>
      <c r="C50" s="15" t="inlineStr">
        <is>
          <t>Walmart</t>
        </is>
      </c>
      <c r="D50" s="13" t="inlineStr">
        <is>
          <t>10-Q</t>
        </is>
      </c>
      <c r="E50" s="13" t="n">
        <v>2025</v>
      </c>
      <c r="F50" s="19" t="inlineStr">
        <is>
          <t>paraphrased</t>
        </is>
      </c>
      <c r="G50" s="17" t="inlineStr">
        <is>
          <t>ANSWER</t>
        </is>
      </c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</row>
    <row r="51" ht="15.75" customHeight="1" s="66">
      <c r="A51" s="13" t="n">
        <v>48</v>
      </c>
      <c r="B51" s="20" t="inlineStr">
        <is>
          <t>Baseline RAG</t>
        </is>
      </c>
      <c r="C51" s="15" t="inlineStr">
        <is>
          <t>Walmart</t>
        </is>
      </c>
      <c r="D51" s="13" t="inlineStr">
        <is>
          <t>10-K</t>
        </is>
      </c>
      <c r="E51" s="13" t="n">
        <v>2025</v>
      </c>
      <c r="F51" s="19" t="inlineStr">
        <is>
          <t>paraphrased</t>
        </is>
      </c>
      <c r="G51" s="17" t="inlineStr">
        <is>
          <t>ANSWER</t>
        </is>
      </c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</row>
    <row r="52" ht="15.75" customHeight="1" s="66">
      <c r="A52" s="13" t="n">
        <v>49</v>
      </c>
      <c r="B52" s="20" t="inlineStr">
        <is>
          <t>Baseline RAG</t>
        </is>
      </c>
      <c r="C52" s="15" t="inlineStr">
        <is>
          <t>Costco</t>
        </is>
      </c>
      <c r="D52" s="13" t="inlineStr">
        <is>
          <t>10-K</t>
        </is>
      </c>
      <c r="E52" s="13" t="n">
        <v>2025</v>
      </c>
      <c r="F52" s="19" t="inlineStr">
        <is>
          <t>paraphrased</t>
        </is>
      </c>
      <c r="G52" s="17" t="inlineStr">
        <is>
          <t>ANSWER</t>
        </is>
      </c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</row>
    <row r="53" ht="15.75" customHeight="1" s="66">
      <c r="A53" s="13" t="n">
        <v>50</v>
      </c>
      <c r="B53" s="20" t="inlineStr">
        <is>
          <t>Baseline RAG</t>
        </is>
      </c>
      <c r="C53" s="15" t="inlineStr">
        <is>
          <t>Costco</t>
        </is>
      </c>
      <c r="D53" s="13" t="inlineStr">
        <is>
          <t>10-Q</t>
        </is>
      </c>
      <c r="E53" s="13" t="n">
        <v>2023</v>
      </c>
      <c r="F53" s="19" t="inlineStr">
        <is>
          <t>paraphrased</t>
        </is>
      </c>
      <c r="G53" s="17" t="inlineStr">
        <is>
          <t>ANSWER</t>
        </is>
      </c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</row>
    <row r="54" ht="15.75" customHeight="1" s="66">
      <c r="A54" s="13" t="n">
        <v>51</v>
      </c>
      <c r="B54" s="20" t="inlineStr">
        <is>
          <t>Baseline RAG</t>
        </is>
      </c>
      <c r="C54" s="15" t="inlineStr">
        <is>
          <t>Apple</t>
        </is>
      </c>
      <c r="D54" s="13" t="inlineStr">
        <is>
          <t>10-K</t>
        </is>
      </c>
      <c r="E54" s="13" t="n">
        <v>2023</v>
      </c>
      <c r="F54" s="17" t="inlineStr">
        <is>
          <t>reasoning</t>
        </is>
      </c>
      <c r="G54" s="17" t="inlineStr">
        <is>
          <t>ANSWER</t>
        </is>
      </c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</row>
    <row r="55" ht="15.75" customHeight="1" s="66">
      <c r="A55" s="13" t="n">
        <v>52</v>
      </c>
      <c r="B55" s="20" t="inlineStr">
        <is>
          <t>Baseline RAG</t>
        </is>
      </c>
      <c r="C55" s="15" t="inlineStr">
        <is>
          <t>Apple</t>
        </is>
      </c>
      <c r="D55" s="13" t="inlineStr">
        <is>
          <t>10-Q</t>
        </is>
      </c>
      <c r="E55" s="13" t="n">
        <v>2025</v>
      </c>
      <c r="F55" s="17" t="inlineStr">
        <is>
          <t>reasoning</t>
        </is>
      </c>
      <c r="G55" s="17" t="inlineStr">
        <is>
          <t>ANSWER</t>
        </is>
      </c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</row>
    <row r="56" ht="15.75" customHeight="1" s="66">
      <c r="A56" s="13" t="n">
        <v>53</v>
      </c>
      <c r="B56" s="20" t="inlineStr">
        <is>
          <t>Baseline RAG</t>
        </is>
      </c>
      <c r="C56" s="15" t="inlineStr">
        <is>
          <t>Microsoft</t>
        </is>
      </c>
      <c r="D56" s="13" t="inlineStr">
        <is>
          <t>10-K</t>
        </is>
      </c>
      <c r="E56" s="13" t="n">
        <v>2023</v>
      </c>
      <c r="F56" s="17" t="inlineStr">
        <is>
          <t>reasoning</t>
        </is>
      </c>
      <c r="G56" s="17" t="inlineStr">
        <is>
          <t>ANSWER</t>
        </is>
      </c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</row>
    <row r="57" ht="15.75" customHeight="1" s="66">
      <c r="A57" s="13" t="n">
        <v>54</v>
      </c>
      <c r="B57" s="20" t="inlineStr">
        <is>
          <t>Baseline RAG</t>
        </is>
      </c>
      <c r="C57" s="15" t="inlineStr">
        <is>
          <t>Microsoft</t>
        </is>
      </c>
      <c r="D57" s="13" t="inlineStr">
        <is>
          <t>10-Q</t>
        </is>
      </c>
      <c r="E57" s="13" t="n">
        <v>2024</v>
      </c>
      <c r="F57" s="17" t="inlineStr">
        <is>
          <t>reasoning</t>
        </is>
      </c>
      <c r="G57" s="17" t="inlineStr">
        <is>
          <t>ANSWER</t>
        </is>
      </c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</row>
    <row r="58" ht="15.75" customHeight="1" s="66">
      <c r="A58" s="13" t="n">
        <v>55</v>
      </c>
      <c r="B58" s="20" t="inlineStr">
        <is>
          <t>Baseline RAG</t>
        </is>
      </c>
      <c r="C58" s="15" t="inlineStr">
        <is>
          <t>NVIDIA</t>
        </is>
      </c>
      <c r="D58" s="13" t="inlineStr">
        <is>
          <t>10-K</t>
        </is>
      </c>
      <c r="E58" s="13" t="n">
        <v>2024</v>
      </c>
      <c r="F58" s="17" t="inlineStr">
        <is>
          <t>reasoning</t>
        </is>
      </c>
      <c r="G58" s="17" t="inlineStr">
        <is>
          <t>ANSWER</t>
        </is>
      </c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</row>
    <row r="59" ht="15.75" customHeight="1" s="66">
      <c r="A59" s="13" t="n">
        <v>56</v>
      </c>
      <c r="B59" s="20" t="inlineStr">
        <is>
          <t>Baseline RAG</t>
        </is>
      </c>
      <c r="C59" s="15" t="inlineStr">
        <is>
          <t>NVIDIA</t>
        </is>
      </c>
      <c r="D59" s="13" t="inlineStr">
        <is>
          <t>10-Q</t>
        </is>
      </c>
      <c r="E59" s="13" t="n">
        <v>2025</v>
      </c>
      <c r="F59" s="17" t="inlineStr">
        <is>
          <t>reasoning</t>
        </is>
      </c>
      <c r="G59" s="17" t="inlineStr">
        <is>
          <t>ANSWER</t>
        </is>
      </c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</row>
    <row r="60" ht="15.75" customHeight="1" s="66">
      <c r="A60" s="13" t="n">
        <v>57</v>
      </c>
      <c r="B60" s="20" t="inlineStr">
        <is>
          <t>Baseline RAG</t>
        </is>
      </c>
      <c r="C60" s="15" t="inlineStr">
        <is>
          <t>NVIDIA</t>
        </is>
      </c>
      <c r="D60" s="13" t="inlineStr">
        <is>
          <t>10-K</t>
        </is>
      </c>
      <c r="E60" s="13" t="n">
        <v>2024</v>
      </c>
      <c r="F60" s="17" t="inlineStr">
        <is>
          <t>reasoning</t>
        </is>
      </c>
      <c r="G60" s="17" t="inlineStr">
        <is>
          <t>ANSWER</t>
        </is>
      </c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</row>
    <row r="61" ht="15.75" customHeight="1" s="66">
      <c r="A61" s="13" t="n">
        <v>58</v>
      </c>
      <c r="B61" s="20" t="inlineStr">
        <is>
          <t>Baseline RAG</t>
        </is>
      </c>
      <c r="C61" s="15" t="inlineStr">
        <is>
          <t>JPMorgan Chase</t>
        </is>
      </c>
      <c r="D61" s="13" t="inlineStr">
        <is>
          <t>10-K</t>
        </is>
      </c>
      <c r="E61" s="13" t="n">
        <v>2025</v>
      </c>
      <c r="F61" s="17" t="inlineStr">
        <is>
          <t>reasoning</t>
        </is>
      </c>
      <c r="G61" s="17" t="inlineStr">
        <is>
          <t>ANSWER</t>
        </is>
      </c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</row>
    <row r="62" ht="15.75" customHeight="1" s="66">
      <c r="A62" s="13" t="n">
        <v>59</v>
      </c>
      <c r="B62" s="20" t="inlineStr">
        <is>
          <t>Baseline RAG</t>
        </is>
      </c>
      <c r="C62" s="15" t="inlineStr">
        <is>
          <t>JPMorgan Chase</t>
        </is>
      </c>
      <c r="D62" s="13" t="inlineStr">
        <is>
          <t>10-Q</t>
        </is>
      </c>
      <c r="E62" s="13" t="n">
        <v>2024</v>
      </c>
      <c r="F62" s="17" t="inlineStr">
        <is>
          <t>reasoning</t>
        </is>
      </c>
      <c r="G62" s="17" t="inlineStr">
        <is>
          <t>ANSWER</t>
        </is>
      </c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</row>
    <row r="63" ht="15.75" customHeight="1" s="66">
      <c r="A63" s="13" t="n">
        <v>60</v>
      </c>
      <c r="B63" s="20" t="inlineStr">
        <is>
          <t>Baseline RAG</t>
        </is>
      </c>
      <c r="C63" s="15" t="inlineStr">
        <is>
          <t>Bank of America</t>
        </is>
      </c>
      <c r="D63" s="13" t="inlineStr">
        <is>
          <t>10-K</t>
        </is>
      </c>
      <c r="E63" s="13" t="n">
        <v>2025</v>
      </c>
      <c r="F63" s="17" t="inlineStr">
        <is>
          <t>reasoning</t>
        </is>
      </c>
      <c r="G63" s="17" t="inlineStr">
        <is>
          <t>ANSWER</t>
        </is>
      </c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</row>
    <row r="64" ht="15.75" customHeight="1" s="66">
      <c r="A64" s="13" t="n">
        <v>61</v>
      </c>
      <c r="B64" s="20" t="inlineStr">
        <is>
          <t>Baseline RAG</t>
        </is>
      </c>
      <c r="C64" s="15" t="inlineStr">
        <is>
          <t>Bank of America</t>
        </is>
      </c>
      <c r="D64" s="13" t="inlineStr">
        <is>
          <t>10-Q</t>
        </is>
      </c>
      <c r="E64" s="13" t="n">
        <v>2025</v>
      </c>
      <c r="F64" s="17" t="inlineStr">
        <is>
          <t>reasoning</t>
        </is>
      </c>
      <c r="G64" s="17" t="inlineStr">
        <is>
          <t>ANSWER</t>
        </is>
      </c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</row>
    <row r="65" ht="15.75" customHeight="1" s="66">
      <c r="A65" s="13" t="n">
        <v>62</v>
      </c>
      <c r="B65" s="20" t="inlineStr">
        <is>
          <t>Baseline RAG</t>
        </is>
      </c>
      <c r="C65" s="15" t="inlineStr">
        <is>
          <t>Berkshire Hathaway</t>
        </is>
      </c>
      <c r="D65" s="13" t="inlineStr">
        <is>
          <t>10-Q</t>
        </is>
      </c>
      <c r="E65" s="13" t="n">
        <v>2024</v>
      </c>
      <c r="F65" s="17" t="inlineStr">
        <is>
          <t>reasoning</t>
        </is>
      </c>
      <c r="G65" s="17" t="inlineStr">
        <is>
          <t>ANSWER</t>
        </is>
      </c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</row>
    <row r="66" ht="15.75" customHeight="1" s="66">
      <c r="A66" s="13" t="n">
        <v>63</v>
      </c>
      <c r="B66" s="20" t="inlineStr">
        <is>
          <t>Baseline RAG</t>
        </is>
      </c>
      <c r="C66" s="15" t="inlineStr">
        <is>
          <t>Berkshire Hathaway</t>
        </is>
      </c>
      <c r="D66" s="13" t="inlineStr">
        <is>
          <t>10-K</t>
        </is>
      </c>
      <c r="E66" s="13" t="n">
        <v>2026</v>
      </c>
      <c r="F66" s="17" t="inlineStr">
        <is>
          <t>reasoning</t>
        </is>
      </c>
      <c r="G66" s="17" t="inlineStr">
        <is>
          <t>ANSWER</t>
        </is>
      </c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</row>
    <row r="67" ht="15.75" customHeight="1" s="66">
      <c r="A67" s="13" t="n">
        <v>64</v>
      </c>
      <c r="B67" s="20" t="inlineStr">
        <is>
          <t>Baseline RAG</t>
        </is>
      </c>
      <c r="C67" s="15" t="inlineStr">
        <is>
          <t>Johnson &amp; Johnson</t>
        </is>
      </c>
      <c r="D67" s="13" t="inlineStr">
        <is>
          <t>10-K</t>
        </is>
      </c>
      <c r="E67" s="13" t="n">
        <v>2025</v>
      </c>
      <c r="F67" s="17" t="inlineStr">
        <is>
          <t>reasoning</t>
        </is>
      </c>
      <c r="G67" s="17" t="inlineStr">
        <is>
          <t>ANSWER</t>
        </is>
      </c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</row>
    <row r="68" ht="15.75" customHeight="1" s="66">
      <c r="A68" s="13" t="n">
        <v>65</v>
      </c>
      <c r="B68" s="20" t="inlineStr">
        <is>
          <t>Baseline RAG</t>
        </is>
      </c>
      <c r="C68" s="15" t="inlineStr">
        <is>
          <t>Johnson &amp; Johnson</t>
        </is>
      </c>
      <c r="D68" s="13" t="inlineStr">
        <is>
          <t>10-Q</t>
        </is>
      </c>
      <c r="E68" s="13" t="n">
        <v>2023</v>
      </c>
      <c r="F68" s="17" t="inlineStr">
        <is>
          <t>reasoning</t>
        </is>
      </c>
      <c r="G68" s="17" t="inlineStr">
        <is>
          <t>ANSWER</t>
        </is>
      </c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</row>
    <row r="69" ht="15.75" customHeight="1" s="66">
      <c r="A69" s="13" t="n">
        <v>66</v>
      </c>
      <c r="B69" s="20" t="inlineStr">
        <is>
          <t>Baseline RAG</t>
        </is>
      </c>
      <c r="C69" s="15" t="inlineStr">
        <is>
          <t>UnitedHealth Group</t>
        </is>
      </c>
      <c r="D69" s="13" t="inlineStr">
        <is>
          <t>10-K</t>
        </is>
      </c>
      <c r="E69" s="13" t="n">
        <v>2025</v>
      </c>
      <c r="F69" s="17" t="inlineStr">
        <is>
          <t>reasoning</t>
        </is>
      </c>
      <c r="G69" s="17" t="inlineStr">
        <is>
          <t>ANSWER</t>
        </is>
      </c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</row>
    <row r="70" ht="15.75" customHeight="1" s="66">
      <c r="A70" s="13" t="n">
        <v>67</v>
      </c>
      <c r="B70" s="20" t="inlineStr">
        <is>
          <t>Baseline RAG</t>
        </is>
      </c>
      <c r="C70" s="15" t="inlineStr">
        <is>
          <t>UnitedHealth Group</t>
        </is>
      </c>
      <c r="D70" s="13" t="inlineStr">
        <is>
          <t>10-Q</t>
        </is>
      </c>
      <c r="E70" s="13" t="n">
        <v>2025</v>
      </c>
      <c r="F70" s="17" t="inlineStr">
        <is>
          <t>reasoning</t>
        </is>
      </c>
      <c r="G70" s="17" t="inlineStr">
        <is>
          <t>ANSWER</t>
        </is>
      </c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</row>
    <row r="71" ht="15.75" customHeight="1" s="66">
      <c r="A71" s="13" t="n">
        <v>68</v>
      </c>
      <c r="B71" s="20" t="inlineStr">
        <is>
          <t>Baseline RAG</t>
        </is>
      </c>
      <c r="C71" s="15" t="inlineStr">
        <is>
          <t>Exxon Mobil</t>
        </is>
      </c>
      <c r="D71" s="13" t="inlineStr">
        <is>
          <t>10-K</t>
        </is>
      </c>
      <c r="E71" s="13" t="n">
        <v>2025</v>
      </c>
      <c r="F71" s="17" t="inlineStr">
        <is>
          <t>reasoning</t>
        </is>
      </c>
      <c r="G71" s="17" t="inlineStr">
        <is>
          <t>ANSWER</t>
        </is>
      </c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</row>
    <row r="72" ht="15.75" customHeight="1" s="66">
      <c r="A72" s="13" t="n">
        <v>69</v>
      </c>
      <c r="B72" s="20" t="inlineStr">
        <is>
          <t>Baseline RAG</t>
        </is>
      </c>
      <c r="C72" s="15" t="inlineStr">
        <is>
          <t>Exxon Mobil</t>
        </is>
      </c>
      <c r="D72" s="13" t="inlineStr">
        <is>
          <t>10-Q</t>
        </is>
      </c>
      <c r="E72" s="13" t="n">
        <v>2024</v>
      </c>
      <c r="F72" s="17" t="inlineStr">
        <is>
          <t>reasoning</t>
        </is>
      </c>
      <c r="G72" s="17" t="inlineStr">
        <is>
          <t>ANSWER</t>
        </is>
      </c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</row>
    <row r="73" ht="15.75" customHeight="1" s="66">
      <c r="A73" s="13" t="n">
        <v>70</v>
      </c>
      <c r="B73" s="20" t="inlineStr">
        <is>
          <t>Baseline RAG</t>
        </is>
      </c>
      <c r="C73" s="15" t="inlineStr">
        <is>
          <t>Chevron</t>
        </is>
      </c>
      <c r="D73" s="13" t="inlineStr">
        <is>
          <t>10-K</t>
        </is>
      </c>
      <c r="E73" s="13" t="n">
        <v>2025</v>
      </c>
      <c r="F73" s="17" t="inlineStr">
        <is>
          <t>reasoning</t>
        </is>
      </c>
      <c r="G73" s="17" t="inlineStr">
        <is>
          <t>ANSWER</t>
        </is>
      </c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</row>
    <row r="74" ht="15.75" customHeight="1" s="66">
      <c r="A74" s="13" t="n">
        <v>71</v>
      </c>
      <c r="B74" s="20" t="inlineStr">
        <is>
          <t>Baseline RAG</t>
        </is>
      </c>
      <c r="C74" s="15" t="inlineStr">
        <is>
          <t>Chevron</t>
        </is>
      </c>
      <c r="D74" s="13" t="inlineStr">
        <is>
          <t>10-Q</t>
        </is>
      </c>
      <c r="E74" s="13" t="n">
        <v>2024</v>
      </c>
      <c r="F74" s="17" t="inlineStr">
        <is>
          <t>reasoning</t>
        </is>
      </c>
      <c r="G74" s="17" t="inlineStr">
        <is>
          <t>ANSWER</t>
        </is>
      </c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</row>
    <row r="75" ht="15.75" customHeight="1" s="66">
      <c r="A75" s="13" t="n">
        <v>72</v>
      </c>
      <c r="B75" s="20" t="inlineStr">
        <is>
          <t>Baseline RAG</t>
        </is>
      </c>
      <c r="C75" s="15" t="inlineStr">
        <is>
          <t>Walmart</t>
        </is>
      </c>
      <c r="D75" s="13" t="inlineStr">
        <is>
          <t>10-K</t>
        </is>
      </c>
      <c r="E75" s="13" t="n">
        <v>2024</v>
      </c>
      <c r="F75" s="17" t="inlineStr">
        <is>
          <t>reasoning</t>
        </is>
      </c>
      <c r="G75" s="17" t="inlineStr">
        <is>
          <t>ANSWER</t>
        </is>
      </c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</row>
    <row r="76" ht="15.75" customHeight="1" s="66">
      <c r="A76" s="13" t="n">
        <v>73</v>
      </c>
      <c r="B76" s="20" t="inlineStr">
        <is>
          <t>Baseline RAG</t>
        </is>
      </c>
      <c r="C76" s="15" t="inlineStr">
        <is>
          <t>Walmart</t>
        </is>
      </c>
      <c r="D76" s="13" t="inlineStr">
        <is>
          <t>10-Q</t>
        </is>
      </c>
      <c r="E76" s="13" t="n">
        <v>2025</v>
      </c>
      <c r="F76" s="17" t="inlineStr">
        <is>
          <t>reasoning</t>
        </is>
      </c>
      <c r="G76" s="17" t="inlineStr">
        <is>
          <t>ANSWER</t>
        </is>
      </c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</row>
    <row r="77" ht="15.75" customHeight="1" s="66">
      <c r="A77" s="13" t="n">
        <v>74</v>
      </c>
      <c r="B77" s="20" t="inlineStr">
        <is>
          <t>Baseline RAG</t>
        </is>
      </c>
      <c r="C77" s="15" t="inlineStr">
        <is>
          <t>Costco</t>
        </is>
      </c>
      <c r="D77" s="13" t="inlineStr">
        <is>
          <t>10-Q</t>
        </is>
      </c>
      <c r="E77" s="13" t="n">
        <v>2025</v>
      </c>
      <c r="F77" s="17" t="inlineStr">
        <is>
          <t>reasoning</t>
        </is>
      </c>
      <c r="G77" s="17" t="inlineStr">
        <is>
          <t>ANSWER</t>
        </is>
      </c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</row>
    <row r="78" ht="15.75" customHeight="1" s="66">
      <c r="A78" s="13" t="n">
        <v>75</v>
      </c>
      <c r="B78" s="20" t="inlineStr">
        <is>
          <t>Baseline RAG</t>
        </is>
      </c>
      <c r="C78" s="15" t="inlineStr">
        <is>
          <t>Costco</t>
        </is>
      </c>
      <c r="D78" s="13" t="inlineStr">
        <is>
          <t>10-Q</t>
        </is>
      </c>
      <c r="E78" s="13" t="n">
        <v>2024</v>
      </c>
      <c r="F78" s="17" t="inlineStr">
        <is>
          <t>reasoning</t>
        </is>
      </c>
      <c r="G78" s="17" t="inlineStr">
        <is>
          <t>ANSWER</t>
        </is>
      </c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</row>
    <row r="79" ht="15.75" customHeight="1" s="66">
      <c r="A79" s="13" t="n">
        <v>76</v>
      </c>
      <c r="B79" s="20" t="inlineStr">
        <is>
          <t>Baseline RAG</t>
        </is>
      </c>
      <c r="C79" s="15" t="inlineStr">
        <is>
          <t>Apple</t>
        </is>
      </c>
      <c r="D79" s="13" t="n"/>
      <c r="E79" s="13" t="n"/>
      <c r="F79" s="21" t="inlineStr">
        <is>
          <t>hallucination</t>
        </is>
      </c>
      <c r="G79" s="21" t="inlineStr">
        <is>
          <t>REFUSE</t>
        </is>
      </c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</row>
    <row r="80" ht="15.75" customHeight="1" s="66">
      <c r="A80" s="13" t="n">
        <v>77</v>
      </c>
      <c r="B80" s="20" t="inlineStr">
        <is>
          <t>Baseline RAG</t>
        </is>
      </c>
      <c r="C80" s="15" t="inlineStr">
        <is>
          <t>Apple</t>
        </is>
      </c>
      <c r="D80" s="13" t="n"/>
      <c r="E80" s="13" t="n"/>
      <c r="F80" s="21" t="inlineStr">
        <is>
          <t>hallucination</t>
        </is>
      </c>
      <c r="G80" s="21" t="inlineStr">
        <is>
          <t>REFUSE</t>
        </is>
      </c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</row>
    <row r="81" ht="15.75" customHeight="1" s="66">
      <c r="A81" s="13" t="n">
        <v>78</v>
      </c>
      <c r="B81" s="20" t="inlineStr">
        <is>
          <t>Baseline RAG</t>
        </is>
      </c>
      <c r="C81" s="15" t="inlineStr">
        <is>
          <t>Microsoft</t>
        </is>
      </c>
      <c r="D81" s="13" t="n"/>
      <c r="E81" s="13" t="n"/>
      <c r="F81" s="21" t="inlineStr">
        <is>
          <t>hallucination</t>
        </is>
      </c>
      <c r="G81" s="21" t="inlineStr">
        <is>
          <t>REFUSE</t>
        </is>
      </c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</row>
    <row r="82" ht="15.75" customHeight="1" s="66">
      <c r="A82" s="13" t="n">
        <v>79</v>
      </c>
      <c r="B82" s="20" t="inlineStr">
        <is>
          <t>Baseline RAG</t>
        </is>
      </c>
      <c r="C82" s="15" t="inlineStr">
        <is>
          <t>Microsoft</t>
        </is>
      </c>
      <c r="D82" s="13" t="n"/>
      <c r="E82" s="13" t="n"/>
      <c r="F82" s="21" t="inlineStr">
        <is>
          <t>hallucination</t>
        </is>
      </c>
      <c r="G82" s="21" t="inlineStr">
        <is>
          <t>REFUSE</t>
        </is>
      </c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</row>
    <row r="83" ht="15.75" customHeight="1" s="66">
      <c r="A83" s="13" t="n">
        <v>80</v>
      </c>
      <c r="B83" s="20" t="inlineStr">
        <is>
          <t>Baseline RAG</t>
        </is>
      </c>
      <c r="C83" s="15" t="inlineStr">
        <is>
          <t>NVIDIA</t>
        </is>
      </c>
      <c r="D83" s="13" t="n"/>
      <c r="E83" s="13" t="n"/>
      <c r="F83" s="21" t="inlineStr">
        <is>
          <t>hallucination</t>
        </is>
      </c>
      <c r="G83" s="21" t="inlineStr">
        <is>
          <t>REFUSE</t>
        </is>
      </c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</row>
    <row r="84" ht="15.75" customHeight="1" s="66">
      <c r="A84" s="13" t="n">
        <v>81</v>
      </c>
      <c r="B84" s="20" t="inlineStr">
        <is>
          <t>Baseline RAG</t>
        </is>
      </c>
      <c r="C84" s="15" t="inlineStr">
        <is>
          <t>NVIDIA</t>
        </is>
      </c>
      <c r="D84" s="13" t="n"/>
      <c r="E84" s="13" t="n"/>
      <c r="F84" s="21" t="inlineStr">
        <is>
          <t>hallucination</t>
        </is>
      </c>
      <c r="G84" s="21" t="inlineStr">
        <is>
          <t>REFUSE</t>
        </is>
      </c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</row>
    <row r="85" ht="15.75" customHeight="1" s="66">
      <c r="A85" s="13" t="n">
        <v>82</v>
      </c>
      <c r="B85" s="20" t="inlineStr">
        <is>
          <t>Baseline RAG</t>
        </is>
      </c>
      <c r="C85" s="15" t="inlineStr">
        <is>
          <t>NVIDIA</t>
        </is>
      </c>
      <c r="D85" s="13" t="n"/>
      <c r="E85" s="13" t="n"/>
      <c r="F85" s="21" t="inlineStr">
        <is>
          <t>hallucination</t>
        </is>
      </c>
      <c r="G85" s="21" t="inlineStr">
        <is>
          <t>REFUSE</t>
        </is>
      </c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</row>
    <row r="86" ht="15.75" customHeight="1" s="66">
      <c r="A86" s="13" t="n">
        <v>83</v>
      </c>
      <c r="B86" s="20" t="inlineStr">
        <is>
          <t>Baseline RAG</t>
        </is>
      </c>
      <c r="C86" s="15" t="inlineStr">
        <is>
          <t>JPMorgan Chase</t>
        </is>
      </c>
      <c r="D86" s="13" t="n"/>
      <c r="E86" s="13" t="n"/>
      <c r="F86" s="21" t="inlineStr">
        <is>
          <t>hallucination</t>
        </is>
      </c>
      <c r="G86" s="21" t="inlineStr">
        <is>
          <t>REFUSE</t>
        </is>
      </c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</row>
    <row r="87" ht="15.75" customHeight="1" s="66">
      <c r="A87" s="13" t="n">
        <v>84</v>
      </c>
      <c r="B87" s="20" t="inlineStr">
        <is>
          <t>Baseline RAG</t>
        </is>
      </c>
      <c r="C87" s="15" t="inlineStr">
        <is>
          <t>JPMorgan Chase</t>
        </is>
      </c>
      <c r="D87" s="13" t="n"/>
      <c r="E87" s="13" t="n"/>
      <c r="F87" s="21" t="inlineStr">
        <is>
          <t>hallucination</t>
        </is>
      </c>
      <c r="G87" s="21" t="inlineStr">
        <is>
          <t>REFUSE</t>
        </is>
      </c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</row>
    <row r="88" ht="15.75" customHeight="1" s="66">
      <c r="A88" s="13" t="n">
        <v>85</v>
      </c>
      <c r="B88" s="20" t="inlineStr">
        <is>
          <t>Baseline RAG</t>
        </is>
      </c>
      <c r="C88" s="15" t="inlineStr">
        <is>
          <t>Bank of America</t>
        </is>
      </c>
      <c r="D88" s="13" t="n"/>
      <c r="E88" s="13" t="n"/>
      <c r="F88" s="21" t="inlineStr">
        <is>
          <t>hallucination</t>
        </is>
      </c>
      <c r="G88" s="21" t="inlineStr">
        <is>
          <t>REFUSE</t>
        </is>
      </c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</row>
    <row r="89" ht="15.75" customHeight="1" s="66">
      <c r="A89" s="13" t="n">
        <v>86</v>
      </c>
      <c r="B89" s="20" t="inlineStr">
        <is>
          <t>Baseline RAG</t>
        </is>
      </c>
      <c r="C89" s="15" t="inlineStr">
        <is>
          <t>Bank of America</t>
        </is>
      </c>
      <c r="D89" s="13" t="n"/>
      <c r="E89" s="13" t="n"/>
      <c r="F89" s="21" t="inlineStr">
        <is>
          <t>hallucination</t>
        </is>
      </c>
      <c r="G89" s="21" t="inlineStr">
        <is>
          <t>REFUSE</t>
        </is>
      </c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</row>
    <row r="90" ht="15.75" customHeight="1" s="66">
      <c r="A90" s="13" t="n">
        <v>87</v>
      </c>
      <c r="B90" s="20" t="inlineStr">
        <is>
          <t>Baseline RAG</t>
        </is>
      </c>
      <c r="C90" s="15" t="inlineStr">
        <is>
          <t>Berkshire Hathaway</t>
        </is>
      </c>
      <c r="D90" s="13" t="n"/>
      <c r="E90" s="13" t="n"/>
      <c r="F90" s="21" t="inlineStr">
        <is>
          <t>hallucination</t>
        </is>
      </c>
      <c r="G90" s="21" t="inlineStr">
        <is>
          <t>REFUSE</t>
        </is>
      </c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</row>
    <row r="91" ht="15.75" customHeight="1" s="66">
      <c r="A91" s="13" t="n">
        <v>88</v>
      </c>
      <c r="B91" s="20" t="inlineStr">
        <is>
          <t>Baseline RAG</t>
        </is>
      </c>
      <c r="C91" s="15" t="inlineStr">
        <is>
          <t>Berkshire Hathaway</t>
        </is>
      </c>
      <c r="D91" s="13" t="n"/>
      <c r="E91" s="13" t="n"/>
      <c r="F91" s="21" t="inlineStr">
        <is>
          <t>hallucination</t>
        </is>
      </c>
      <c r="G91" s="21" t="inlineStr">
        <is>
          <t>REFUSE</t>
        </is>
      </c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</row>
    <row r="92" ht="15.75" customHeight="1" s="66">
      <c r="A92" s="13" t="n">
        <v>89</v>
      </c>
      <c r="B92" s="20" t="inlineStr">
        <is>
          <t>Baseline RAG</t>
        </is>
      </c>
      <c r="C92" s="15" t="inlineStr">
        <is>
          <t>Johnson &amp; Johnson</t>
        </is>
      </c>
      <c r="D92" s="13" t="n"/>
      <c r="E92" s="13" t="n"/>
      <c r="F92" s="21" t="inlineStr">
        <is>
          <t>hallucination</t>
        </is>
      </c>
      <c r="G92" s="21" t="inlineStr">
        <is>
          <t>REFUSE</t>
        </is>
      </c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</row>
    <row r="93" ht="15.75" customHeight="1" s="66">
      <c r="A93" s="13" t="n">
        <v>90</v>
      </c>
      <c r="B93" s="20" t="inlineStr">
        <is>
          <t>Baseline RAG</t>
        </is>
      </c>
      <c r="C93" s="15" t="inlineStr">
        <is>
          <t>Johnson &amp; Johnson</t>
        </is>
      </c>
      <c r="D93" s="13" t="n"/>
      <c r="E93" s="13" t="n"/>
      <c r="F93" s="21" t="inlineStr">
        <is>
          <t>hallucination</t>
        </is>
      </c>
      <c r="G93" s="21" t="inlineStr">
        <is>
          <t>REFUSE</t>
        </is>
      </c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</row>
    <row r="94" ht="15.75" customHeight="1" s="66">
      <c r="A94" s="13" t="n">
        <v>91</v>
      </c>
      <c r="B94" s="20" t="inlineStr">
        <is>
          <t>Baseline RAG</t>
        </is>
      </c>
      <c r="C94" s="15" t="inlineStr">
        <is>
          <t>UnitedHealth Group</t>
        </is>
      </c>
      <c r="D94" s="13" t="n"/>
      <c r="E94" s="13" t="n"/>
      <c r="F94" s="21" t="inlineStr">
        <is>
          <t>hallucination</t>
        </is>
      </c>
      <c r="G94" s="21" t="inlineStr">
        <is>
          <t>REFUSE</t>
        </is>
      </c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</row>
    <row r="95" ht="15.75" customHeight="1" s="66">
      <c r="A95" s="13" t="n">
        <v>92</v>
      </c>
      <c r="B95" s="20" t="inlineStr">
        <is>
          <t>Baseline RAG</t>
        </is>
      </c>
      <c r="C95" s="15" t="inlineStr">
        <is>
          <t>UnitedHealth Group</t>
        </is>
      </c>
      <c r="D95" s="13" t="n"/>
      <c r="E95" s="13" t="n"/>
      <c r="F95" s="21" t="inlineStr">
        <is>
          <t>hallucination</t>
        </is>
      </c>
      <c r="G95" s="21" t="inlineStr">
        <is>
          <t>REFUSE</t>
        </is>
      </c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</row>
    <row r="96" ht="15.75" customHeight="1" s="66">
      <c r="A96" s="13" t="n">
        <v>93</v>
      </c>
      <c r="B96" s="20" t="inlineStr">
        <is>
          <t>Baseline RAG</t>
        </is>
      </c>
      <c r="C96" s="15" t="inlineStr">
        <is>
          <t>Exxon Mobil</t>
        </is>
      </c>
      <c r="D96" s="13" t="n"/>
      <c r="E96" s="13" t="n"/>
      <c r="F96" s="21" t="inlineStr">
        <is>
          <t>hallucination</t>
        </is>
      </c>
      <c r="G96" s="21" t="inlineStr">
        <is>
          <t>REFUSE</t>
        </is>
      </c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</row>
    <row r="97" ht="15.75" customHeight="1" s="66">
      <c r="A97" s="13" t="n">
        <v>94</v>
      </c>
      <c r="B97" s="20" t="inlineStr">
        <is>
          <t>Baseline RAG</t>
        </is>
      </c>
      <c r="C97" s="15" t="inlineStr">
        <is>
          <t>Exxon Mobil</t>
        </is>
      </c>
      <c r="D97" s="13" t="n"/>
      <c r="E97" s="13" t="n"/>
      <c r="F97" s="21" t="inlineStr">
        <is>
          <t>hallucination</t>
        </is>
      </c>
      <c r="G97" s="21" t="inlineStr">
        <is>
          <t>REFUSE</t>
        </is>
      </c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</row>
    <row r="98" ht="15.75" customHeight="1" s="66">
      <c r="A98" s="13" t="n">
        <v>95</v>
      </c>
      <c r="B98" s="20" t="inlineStr">
        <is>
          <t>Baseline RAG</t>
        </is>
      </c>
      <c r="C98" s="15" t="inlineStr">
        <is>
          <t>Chevron</t>
        </is>
      </c>
      <c r="D98" s="13" t="n"/>
      <c r="E98" s="13" t="n"/>
      <c r="F98" s="21" t="inlineStr">
        <is>
          <t>hallucination</t>
        </is>
      </c>
      <c r="G98" s="21" t="inlineStr">
        <is>
          <t>REFUSE</t>
        </is>
      </c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</row>
    <row r="99" ht="15.75" customHeight="1" s="66">
      <c r="A99" s="13" t="n">
        <v>96</v>
      </c>
      <c r="B99" s="20" t="inlineStr">
        <is>
          <t>Baseline RAG</t>
        </is>
      </c>
      <c r="C99" s="15" t="inlineStr">
        <is>
          <t>Chevron</t>
        </is>
      </c>
      <c r="D99" s="13" t="n"/>
      <c r="E99" s="13" t="n"/>
      <c r="F99" s="21" t="inlineStr">
        <is>
          <t>hallucination</t>
        </is>
      </c>
      <c r="G99" s="21" t="inlineStr">
        <is>
          <t>REFUSE</t>
        </is>
      </c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</row>
    <row r="100" ht="15.75" customHeight="1" s="66">
      <c r="A100" s="13" t="n">
        <v>97</v>
      </c>
      <c r="B100" s="20" t="inlineStr">
        <is>
          <t>Baseline RAG</t>
        </is>
      </c>
      <c r="C100" s="15" t="inlineStr">
        <is>
          <t>Walmart</t>
        </is>
      </c>
      <c r="D100" s="13" t="n"/>
      <c r="E100" s="13" t="n"/>
      <c r="F100" s="21" t="inlineStr">
        <is>
          <t>hallucination</t>
        </is>
      </c>
      <c r="G100" s="21" t="inlineStr">
        <is>
          <t>REFUSE</t>
        </is>
      </c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</row>
    <row r="101" ht="15.75" customHeight="1" s="66">
      <c r="A101" s="13" t="n">
        <v>98</v>
      </c>
      <c r="B101" s="20" t="inlineStr">
        <is>
          <t>Baseline RAG</t>
        </is>
      </c>
      <c r="C101" s="15" t="inlineStr">
        <is>
          <t>Walmart</t>
        </is>
      </c>
      <c r="D101" s="13" t="n"/>
      <c r="E101" s="13" t="n"/>
      <c r="F101" s="21" t="inlineStr">
        <is>
          <t>hallucination</t>
        </is>
      </c>
      <c r="G101" s="21" t="inlineStr">
        <is>
          <t>REFUSE</t>
        </is>
      </c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</row>
    <row r="102" ht="15.75" customHeight="1" s="66">
      <c r="A102" s="13" t="n">
        <v>99</v>
      </c>
      <c r="B102" s="20" t="inlineStr">
        <is>
          <t>Baseline RAG</t>
        </is>
      </c>
      <c r="C102" s="15" t="inlineStr">
        <is>
          <t>Costco</t>
        </is>
      </c>
      <c r="D102" s="13" t="n"/>
      <c r="E102" s="13" t="n"/>
      <c r="F102" s="21" t="inlineStr">
        <is>
          <t>hallucination</t>
        </is>
      </c>
      <c r="G102" s="21" t="inlineStr">
        <is>
          <t>REFUSE</t>
        </is>
      </c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</row>
    <row r="103" ht="15.75" customHeight="1" s="66">
      <c r="A103" s="13" t="n">
        <v>100</v>
      </c>
      <c r="B103" s="20" t="inlineStr">
        <is>
          <t>Baseline RAG</t>
        </is>
      </c>
      <c r="C103" s="15" t="inlineStr">
        <is>
          <t>Costco</t>
        </is>
      </c>
      <c r="D103" s="13" t="n"/>
      <c r="E103" s="13" t="n"/>
      <c r="F103" s="21" t="inlineStr">
        <is>
          <t>hallucination</t>
        </is>
      </c>
      <c r="G103" s="21" t="inlineStr">
        <is>
          <t>REFUSE</t>
        </is>
      </c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</row>
    <row r="104" ht="15.75" customHeight="1" s="66">
      <c r="A104" s="22" t="n">
        <v>1</v>
      </c>
      <c r="B104" s="23" t="inlineStr">
        <is>
          <t>Adv RAG – Hybrid (BM25+Vector)</t>
        </is>
      </c>
      <c r="C104" s="24" t="inlineStr">
        <is>
          <t>Apple</t>
        </is>
      </c>
      <c r="D104" s="22" t="inlineStr">
        <is>
          <t>10-K</t>
        </is>
      </c>
      <c r="E104" s="22" t="n">
        <v>2023</v>
      </c>
      <c r="F104" s="16" t="inlineStr">
        <is>
          <t>extractive</t>
        </is>
      </c>
      <c r="G104" s="17" t="inlineStr">
        <is>
          <t>ANSWER</t>
        </is>
      </c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</row>
    <row r="105" ht="15.75" customHeight="1" s="66">
      <c r="A105" s="22" t="n">
        <v>2</v>
      </c>
      <c r="B105" s="23" t="inlineStr">
        <is>
          <t>Adv RAG – Hybrid (BM25+Vector)</t>
        </is>
      </c>
      <c r="C105" s="24" t="inlineStr">
        <is>
          <t>Apple</t>
        </is>
      </c>
      <c r="D105" s="22" t="inlineStr">
        <is>
          <t>10-Q</t>
        </is>
      </c>
      <c r="E105" s="22" t="n">
        <v>2025</v>
      </c>
      <c r="F105" s="16" t="inlineStr">
        <is>
          <t>extractive</t>
        </is>
      </c>
      <c r="G105" s="17" t="inlineStr">
        <is>
          <t>ANSWER</t>
        </is>
      </c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</row>
    <row r="106" ht="15.75" customHeight="1" s="66">
      <c r="A106" s="22" t="n">
        <v>3</v>
      </c>
      <c r="B106" s="23" t="inlineStr">
        <is>
          <t>Adv RAG – Hybrid (BM25+Vector)</t>
        </is>
      </c>
      <c r="C106" s="24" t="inlineStr">
        <is>
          <t>Microsoft</t>
        </is>
      </c>
      <c r="D106" s="22" t="inlineStr">
        <is>
          <t>10-Q</t>
        </is>
      </c>
      <c r="E106" s="22" t="n">
        <v>2023</v>
      </c>
      <c r="F106" s="16" t="inlineStr">
        <is>
          <t>extractive</t>
        </is>
      </c>
      <c r="G106" s="17" t="inlineStr">
        <is>
          <t>ANSWER</t>
        </is>
      </c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</row>
    <row r="107" ht="15.75" customHeight="1" s="66">
      <c r="A107" s="22" t="n">
        <v>4</v>
      </c>
      <c r="B107" s="23" t="inlineStr">
        <is>
          <t>Adv RAG – Hybrid (BM25+Vector)</t>
        </is>
      </c>
      <c r="C107" s="24" t="inlineStr">
        <is>
          <t>Microsoft</t>
        </is>
      </c>
      <c r="D107" s="22" t="inlineStr">
        <is>
          <t>10-K</t>
        </is>
      </c>
      <c r="E107" s="22" t="n">
        <v>2023</v>
      </c>
      <c r="F107" s="16" t="inlineStr">
        <is>
          <t>extractive</t>
        </is>
      </c>
      <c r="G107" s="17" t="inlineStr">
        <is>
          <t>ANSWER</t>
        </is>
      </c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</row>
    <row r="108" ht="15.75" customHeight="1" s="66">
      <c r="A108" s="22" t="n">
        <v>5</v>
      </c>
      <c r="B108" s="23" t="inlineStr">
        <is>
          <t>Adv RAG – Hybrid (BM25+Vector)</t>
        </is>
      </c>
      <c r="C108" s="24" t="inlineStr">
        <is>
          <t>NVIDIA</t>
        </is>
      </c>
      <c r="D108" s="22" t="inlineStr">
        <is>
          <t>10-K</t>
        </is>
      </c>
      <c r="E108" s="22" t="n">
        <v>2025</v>
      </c>
      <c r="F108" s="16" t="inlineStr">
        <is>
          <t>extractive</t>
        </is>
      </c>
      <c r="G108" s="17" t="inlineStr">
        <is>
          <t>ANSWER</t>
        </is>
      </c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</row>
    <row r="109" ht="27" customHeight="1" s="66">
      <c r="A109" s="22" t="n">
        <v>6</v>
      </c>
      <c r="B109" s="23" t="inlineStr">
        <is>
          <t>Adv RAG – Hybrid (BM25+Vector)</t>
        </is>
      </c>
      <c r="C109" s="24" t="inlineStr">
        <is>
          <t>NVIDIA</t>
        </is>
      </c>
      <c r="D109" s="22" t="inlineStr">
        <is>
          <t>10-K</t>
        </is>
      </c>
      <c r="E109" s="22" t="n">
        <v>2024</v>
      </c>
      <c r="F109" s="16" t="inlineStr">
        <is>
          <t>extractive</t>
        </is>
      </c>
      <c r="G109" s="17" t="inlineStr">
        <is>
          <t>ANSWER</t>
        </is>
      </c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</row>
    <row r="110" ht="15.75" customHeight="1" s="66">
      <c r="A110" s="22" t="n">
        <v>7</v>
      </c>
      <c r="B110" s="23" t="inlineStr">
        <is>
          <t>Adv RAG – Hybrid (BM25+Vector)</t>
        </is>
      </c>
      <c r="C110" s="24" t="inlineStr">
        <is>
          <t>NVIDIA</t>
        </is>
      </c>
      <c r="D110" s="22" t="inlineStr">
        <is>
          <t>10-K</t>
        </is>
      </c>
      <c r="E110" s="22" t="n">
        <v>2025</v>
      </c>
      <c r="F110" s="16" t="inlineStr">
        <is>
          <t>extractive</t>
        </is>
      </c>
      <c r="G110" s="17" t="inlineStr">
        <is>
          <t>ANSWER</t>
        </is>
      </c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</row>
    <row r="111" ht="15.75" customHeight="1" s="66">
      <c r="A111" s="22" t="n">
        <v>8</v>
      </c>
      <c r="B111" s="23" t="inlineStr">
        <is>
          <t>Adv RAG – Hybrid (BM25+Vector)</t>
        </is>
      </c>
      <c r="C111" s="24" t="inlineStr">
        <is>
          <t>JPMorgan Chase</t>
        </is>
      </c>
      <c r="D111" s="22" t="inlineStr">
        <is>
          <t>10-K</t>
        </is>
      </c>
      <c r="E111" s="22" t="n">
        <v>2023</v>
      </c>
      <c r="F111" s="16" t="inlineStr">
        <is>
          <t>extractive</t>
        </is>
      </c>
      <c r="G111" s="17" t="inlineStr">
        <is>
          <t>ANSWER</t>
        </is>
      </c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</row>
    <row r="112" ht="15.75" customHeight="1" s="66">
      <c r="A112" s="22" t="n">
        <v>9</v>
      </c>
      <c r="B112" s="23" t="inlineStr">
        <is>
          <t>Adv RAG – Hybrid (BM25+Vector)</t>
        </is>
      </c>
      <c r="C112" s="24" t="inlineStr">
        <is>
          <t>JPMorgan Chase</t>
        </is>
      </c>
      <c r="D112" s="22" t="inlineStr">
        <is>
          <t>10-K</t>
        </is>
      </c>
      <c r="E112" s="22" t="n">
        <v>2024</v>
      </c>
      <c r="F112" s="16" t="inlineStr">
        <is>
          <t>extractive</t>
        </is>
      </c>
      <c r="G112" s="17" t="inlineStr">
        <is>
          <t>ANSWER</t>
        </is>
      </c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</row>
    <row r="113" ht="15.75" customHeight="1" s="66">
      <c r="A113" s="22" t="n">
        <v>10</v>
      </c>
      <c r="B113" s="23" t="inlineStr">
        <is>
          <t>Adv RAG – Hybrid (BM25+Vector)</t>
        </is>
      </c>
      <c r="C113" s="24" t="inlineStr">
        <is>
          <t>Bank of America</t>
        </is>
      </c>
      <c r="D113" s="22" t="inlineStr">
        <is>
          <t>10-Q</t>
        </is>
      </c>
      <c r="E113" s="22" t="n">
        <v>2025</v>
      </c>
      <c r="F113" s="16" t="inlineStr">
        <is>
          <t>extractive</t>
        </is>
      </c>
      <c r="G113" s="17" t="inlineStr">
        <is>
          <t>ANSWER</t>
        </is>
      </c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</row>
    <row r="114" ht="15.75" customHeight="1" s="66">
      <c r="A114" s="22" t="n">
        <v>11</v>
      </c>
      <c r="B114" s="23" t="inlineStr">
        <is>
          <t>Adv RAG – Hybrid (BM25+Vector)</t>
        </is>
      </c>
      <c r="C114" s="24" t="inlineStr">
        <is>
          <t>Bank of America</t>
        </is>
      </c>
      <c r="D114" s="22" t="inlineStr">
        <is>
          <t>10-K</t>
        </is>
      </c>
      <c r="E114" s="22" t="n">
        <v>2024</v>
      </c>
      <c r="F114" s="16" t="inlineStr">
        <is>
          <t>extractive</t>
        </is>
      </c>
      <c r="G114" s="17" t="inlineStr">
        <is>
          <t>ANSWER</t>
        </is>
      </c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</row>
    <row r="115" ht="15.75" customHeight="1" s="66">
      <c r="A115" s="22" t="n">
        <v>12</v>
      </c>
      <c r="B115" s="23" t="inlineStr">
        <is>
          <t>Adv RAG – Hybrid (BM25+Vector)</t>
        </is>
      </c>
      <c r="C115" s="24" t="inlineStr">
        <is>
          <t>Berkshire Hathaway</t>
        </is>
      </c>
      <c r="D115" s="22" t="inlineStr">
        <is>
          <t>10-K</t>
        </is>
      </c>
      <c r="E115" s="22" t="n">
        <v>2025</v>
      </c>
      <c r="F115" s="16" t="inlineStr">
        <is>
          <t>extractive</t>
        </is>
      </c>
      <c r="G115" s="17" t="inlineStr">
        <is>
          <t>ANSWER</t>
        </is>
      </c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</row>
    <row r="116" ht="15.75" customHeight="1" s="66">
      <c r="A116" s="22" t="n">
        <v>13</v>
      </c>
      <c r="B116" s="23" t="inlineStr">
        <is>
          <t>Adv RAG – Hybrid (BM25+Vector)</t>
        </is>
      </c>
      <c r="C116" s="24" t="inlineStr">
        <is>
          <t>Berkshire Hathaway</t>
        </is>
      </c>
      <c r="D116" s="22" t="inlineStr">
        <is>
          <t>10-Q</t>
        </is>
      </c>
      <c r="E116" s="22" t="n">
        <v>2023</v>
      </c>
      <c r="F116" s="16" t="inlineStr">
        <is>
          <t>extractive</t>
        </is>
      </c>
      <c r="G116" s="17" t="inlineStr">
        <is>
          <t>ANSWER</t>
        </is>
      </c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</row>
    <row r="117" ht="15.75" customHeight="1" s="66">
      <c r="A117" s="22" t="n">
        <v>14</v>
      </c>
      <c r="B117" s="23" t="inlineStr">
        <is>
          <t>Adv RAG – Hybrid (BM25+Vector)</t>
        </is>
      </c>
      <c r="C117" s="24" t="inlineStr">
        <is>
          <t>Johnson &amp; Johnson</t>
        </is>
      </c>
      <c r="D117" s="22" t="inlineStr">
        <is>
          <t>10-Q</t>
        </is>
      </c>
      <c r="E117" s="22" t="n">
        <v>2025</v>
      </c>
      <c r="F117" s="16" t="inlineStr">
        <is>
          <t>extractive</t>
        </is>
      </c>
      <c r="G117" s="17" t="inlineStr">
        <is>
          <t>ANSWER</t>
        </is>
      </c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</row>
    <row r="118" ht="15.75" customHeight="1" s="66">
      <c r="A118" s="22" t="n">
        <v>15</v>
      </c>
      <c r="B118" s="23" t="inlineStr">
        <is>
          <t>Adv RAG – Hybrid (BM25+Vector)</t>
        </is>
      </c>
      <c r="C118" s="24" t="inlineStr">
        <is>
          <t>Johnson &amp; Johnson</t>
        </is>
      </c>
      <c r="D118" s="22" t="inlineStr">
        <is>
          <t>10-K</t>
        </is>
      </c>
      <c r="E118" s="22" t="n">
        <v>2025</v>
      </c>
      <c r="F118" s="16" t="inlineStr">
        <is>
          <t>extractive</t>
        </is>
      </c>
      <c r="G118" s="17" t="inlineStr">
        <is>
          <t>ANSWER</t>
        </is>
      </c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</row>
    <row r="119" ht="15.75" customHeight="1" s="66">
      <c r="A119" s="22" t="n">
        <v>16</v>
      </c>
      <c r="B119" s="23" t="inlineStr">
        <is>
          <t>Adv RAG – Hybrid (BM25+Vector)</t>
        </is>
      </c>
      <c r="C119" s="24" t="inlineStr">
        <is>
          <t>UnitedHealth Group</t>
        </is>
      </c>
      <c r="D119" s="22" t="inlineStr">
        <is>
          <t>10-Q</t>
        </is>
      </c>
      <c r="E119" s="22" t="n">
        <v>2024</v>
      </c>
      <c r="F119" s="16" t="inlineStr">
        <is>
          <t>extractive</t>
        </is>
      </c>
      <c r="G119" s="17" t="inlineStr">
        <is>
          <t>ANSWER</t>
        </is>
      </c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</row>
    <row r="120" ht="15.75" customHeight="1" s="66">
      <c r="A120" s="22" t="n">
        <v>17</v>
      </c>
      <c r="B120" s="23" t="inlineStr">
        <is>
          <t>Adv RAG – Hybrid (BM25+Vector)</t>
        </is>
      </c>
      <c r="C120" s="24" t="inlineStr">
        <is>
          <t>UnitedHealth Group</t>
        </is>
      </c>
      <c r="D120" s="22" t="inlineStr">
        <is>
          <t>10-K</t>
        </is>
      </c>
      <c r="E120" s="22" t="n">
        <v>2023</v>
      </c>
      <c r="F120" s="16" t="inlineStr">
        <is>
          <t>extractive</t>
        </is>
      </c>
      <c r="G120" s="17" t="inlineStr">
        <is>
          <t>ANSWER</t>
        </is>
      </c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</row>
    <row r="121" ht="15.75" customHeight="1" s="66">
      <c r="A121" s="22" t="n">
        <v>18</v>
      </c>
      <c r="B121" s="23" t="inlineStr">
        <is>
          <t>Adv RAG – Hybrid (BM25+Vector)</t>
        </is>
      </c>
      <c r="C121" s="24" t="inlineStr">
        <is>
          <t>Exxon Mobil</t>
        </is>
      </c>
      <c r="D121" s="22" t="inlineStr">
        <is>
          <t>10-K</t>
        </is>
      </c>
      <c r="E121" s="22" t="n">
        <v>2023</v>
      </c>
      <c r="F121" s="16" t="inlineStr">
        <is>
          <t>extractive</t>
        </is>
      </c>
      <c r="G121" s="17" t="inlineStr">
        <is>
          <t>ANSWER</t>
        </is>
      </c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</row>
    <row r="122" ht="15.75" customHeight="1" s="66">
      <c r="A122" s="22" t="n">
        <v>19</v>
      </c>
      <c r="B122" s="23" t="inlineStr">
        <is>
          <t>Adv RAG – Hybrid (BM25+Vector)</t>
        </is>
      </c>
      <c r="C122" s="24" t="inlineStr">
        <is>
          <t>Exxon Mobil</t>
        </is>
      </c>
      <c r="D122" s="22" t="inlineStr">
        <is>
          <t>10-Q</t>
        </is>
      </c>
      <c r="E122" s="22" t="n">
        <v>2025</v>
      </c>
      <c r="F122" s="16" t="inlineStr">
        <is>
          <t>extractive</t>
        </is>
      </c>
      <c r="G122" s="17" t="inlineStr">
        <is>
          <t>ANSWER</t>
        </is>
      </c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</row>
    <row r="123" ht="15.75" customHeight="1" s="66">
      <c r="A123" s="22" t="n">
        <v>20</v>
      </c>
      <c r="B123" s="23" t="inlineStr">
        <is>
          <t>Adv RAG – Hybrid (BM25+Vector)</t>
        </is>
      </c>
      <c r="C123" s="24" t="inlineStr">
        <is>
          <t>Chevron</t>
        </is>
      </c>
      <c r="D123" s="22" t="inlineStr">
        <is>
          <t>10-Q</t>
        </is>
      </c>
      <c r="E123" s="22" t="n">
        <v>2024</v>
      </c>
      <c r="F123" s="16" t="inlineStr">
        <is>
          <t>extractive</t>
        </is>
      </c>
      <c r="G123" s="17" t="inlineStr">
        <is>
          <t>ANSWER</t>
        </is>
      </c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</row>
    <row r="124" ht="15.75" customHeight="1" s="66">
      <c r="A124" s="22" t="n">
        <v>21</v>
      </c>
      <c r="B124" s="23" t="inlineStr">
        <is>
          <t>Adv RAG – Hybrid (BM25+Vector)</t>
        </is>
      </c>
      <c r="C124" s="24" t="inlineStr">
        <is>
          <t>Chevron</t>
        </is>
      </c>
      <c r="D124" s="22" t="inlineStr">
        <is>
          <t>10-K</t>
        </is>
      </c>
      <c r="E124" s="22" t="n">
        <v>2025</v>
      </c>
      <c r="F124" s="16" t="inlineStr">
        <is>
          <t>extractive</t>
        </is>
      </c>
      <c r="G124" s="17" t="inlineStr">
        <is>
          <t>ANSWER</t>
        </is>
      </c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</row>
    <row r="125" ht="15.75" customHeight="1" s="66">
      <c r="A125" s="22" t="n">
        <v>22</v>
      </c>
      <c r="B125" s="23" t="inlineStr">
        <is>
          <t>Adv RAG – Hybrid (BM25+Vector)</t>
        </is>
      </c>
      <c r="C125" s="24" t="inlineStr">
        <is>
          <t>Walmart</t>
        </is>
      </c>
      <c r="D125" s="22" t="inlineStr">
        <is>
          <t>10-Q</t>
        </is>
      </c>
      <c r="E125" s="22" t="n">
        <v>2023</v>
      </c>
      <c r="F125" s="16" t="inlineStr">
        <is>
          <t>extractive</t>
        </is>
      </c>
      <c r="G125" s="17" t="inlineStr">
        <is>
          <t>ANSWER</t>
        </is>
      </c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</row>
    <row r="126" ht="15.75" customHeight="1" s="66">
      <c r="A126" s="22" t="n">
        <v>23</v>
      </c>
      <c r="B126" s="23" t="inlineStr">
        <is>
          <t>Adv RAG – Hybrid (BM25+Vector)</t>
        </is>
      </c>
      <c r="C126" s="24" t="inlineStr">
        <is>
          <t>Walmart</t>
        </is>
      </c>
      <c r="D126" s="22" t="inlineStr">
        <is>
          <t>10-K</t>
        </is>
      </c>
      <c r="E126" s="22" t="n">
        <v>2024</v>
      </c>
      <c r="F126" s="16" t="inlineStr">
        <is>
          <t>extractive</t>
        </is>
      </c>
      <c r="G126" s="17" t="inlineStr">
        <is>
          <t>ANSWER</t>
        </is>
      </c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</row>
    <row r="127" ht="15.75" customHeight="1" s="66">
      <c r="A127" s="22" t="n">
        <v>24</v>
      </c>
      <c r="B127" s="23" t="inlineStr">
        <is>
          <t>Adv RAG – Hybrid (BM25+Vector)</t>
        </is>
      </c>
      <c r="C127" s="24" t="inlineStr">
        <is>
          <t>Costco</t>
        </is>
      </c>
      <c r="D127" s="22" t="inlineStr">
        <is>
          <t>10-K</t>
        </is>
      </c>
      <c r="E127" s="22" t="n">
        <v>2025</v>
      </c>
      <c r="F127" s="16" t="inlineStr">
        <is>
          <t>extractive</t>
        </is>
      </c>
      <c r="G127" s="17" t="inlineStr">
        <is>
          <t>ANSWER</t>
        </is>
      </c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</row>
    <row r="128" ht="15.75" customHeight="1" s="66">
      <c r="A128" s="22" t="n">
        <v>25</v>
      </c>
      <c r="B128" s="23" t="inlineStr">
        <is>
          <t>Adv RAG – Hybrid (BM25+Vector)</t>
        </is>
      </c>
      <c r="C128" s="24" t="inlineStr">
        <is>
          <t>Costco</t>
        </is>
      </c>
      <c r="D128" s="22" t="inlineStr">
        <is>
          <t>10-Q</t>
        </is>
      </c>
      <c r="E128" s="22" t="n">
        <v>2023</v>
      </c>
      <c r="F128" s="16" t="inlineStr">
        <is>
          <t>extractive</t>
        </is>
      </c>
      <c r="G128" s="17" t="inlineStr">
        <is>
          <t>ANSWER</t>
        </is>
      </c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</row>
    <row r="129" ht="15.75" customHeight="1" s="66">
      <c r="A129" s="22" t="n">
        <v>26</v>
      </c>
      <c r="B129" s="23" t="inlineStr">
        <is>
          <t>Adv RAG – Hybrid (BM25+Vector)</t>
        </is>
      </c>
      <c r="C129" s="24" t="inlineStr">
        <is>
          <t>Apple</t>
        </is>
      </c>
      <c r="D129" s="22" t="inlineStr">
        <is>
          <t>10-K</t>
        </is>
      </c>
      <c r="E129" s="22" t="n">
        <v>2023</v>
      </c>
      <c r="F129" s="19" t="inlineStr">
        <is>
          <t>paraphrased</t>
        </is>
      </c>
      <c r="G129" s="17" t="inlineStr">
        <is>
          <t>ANSWER</t>
        </is>
      </c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</row>
    <row r="130" ht="15.75" customHeight="1" s="66">
      <c r="A130" s="22" t="n">
        <v>27</v>
      </c>
      <c r="B130" s="23" t="inlineStr">
        <is>
          <t>Adv RAG – Hybrid (BM25+Vector)</t>
        </is>
      </c>
      <c r="C130" s="24" t="inlineStr">
        <is>
          <t>Apple</t>
        </is>
      </c>
      <c r="D130" s="22" t="inlineStr">
        <is>
          <t>10-Q</t>
        </is>
      </c>
      <c r="E130" s="22" t="n">
        <v>2025</v>
      </c>
      <c r="F130" s="19" t="inlineStr">
        <is>
          <t>paraphrased</t>
        </is>
      </c>
      <c r="G130" s="17" t="inlineStr">
        <is>
          <t>ANSWER</t>
        </is>
      </c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</row>
    <row r="131" ht="15.75" customHeight="1" s="66">
      <c r="A131" s="22" t="n">
        <v>28</v>
      </c>
      <c r="B131" s="23" t="inlineStr">
        <is>
          <t>Adv RAG – Hybrid (BM25+Vector)</t>
        </is>
      </c>
      <c r="C131" s="24" t="inlineStr">
        <is>
          <t>Microsoft</t>
        </is>
      </c>
      <c r="D131" s="22" t="inlineStr">
        <is>
          <t>10-Q</t>
        </is>
      </c>
      <c r="E131" s="22" t="n">
        <v>2023</v>
      </c>
      <c r="F131" s="19" t="inlineStr">
        <is>
          <t>paraphrased</t>
        </is>
      </c>
      <c r="G131" s="17" t="inlineStr">
        <is>
          <t>ANSWER</t>
        </is>
      </c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</row>
    <row r="132" ht="15.75" customHeight="1" s="66">
      <c r="A132" s="22" t="n">
        <v>29</v>
      </c>
      <c r="B132" s="23" t="inlineStr">
        <is>
          <t>Adv RAG – Hybrid (BM25+Vector)</t>
        </is>
      </c>
      <c r="C132" s="24" t="inlineStr">
        <is>
          <t>Microsoft</t>
        </is>
      </c>
      <c r="D132" s="22" t="inlineStr">
        <is>
          <t>10-K</t>
        </is>
      </c>
      <c r="E132" s="22" t="n">
        <v>2023</v>
      </c>
      <c r="F132" s="19" t="inlineStr">
        <is>
          <t>paraphrased</t>
        </is>
      </c>
      <c r="G132" s="17" t="inlineStr">
        <is>
          <t>ANSWER</t>
        </is>
      </c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</row>
    <row r="133" ht="15.75" customHeight="1" s="66">
      <c r="A133" s="22" t="n">
        <v>30</v>
      </c>
      <c r="B133" s="23" t="inlineStr">
        <is>
          <t>Adv RAG – Hybrid (BM25+Vector)</t>
        </is>
      </c>
      <c r="C133" s="24" t="inlineStr">
        <is>
          <t>NVIDIA</t>
        </is>
      </c>
      <c r="D133" s="22" t="inlineStr">
        <is>
          <t>10-K</t>
        </is>
      </c>
      <c r="E133" s="22" t="n">
        <v>2025</v>
      </c>
      <c r="F133" s="19" t="inlineStr">
        <is>
          <t>paraphrased</t>
        </is>
      </c>
      <c r="G133" s="17" t="inlineStr">
        <is>
          <t>ANSWER</t>
        </is>
      </c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</row>
    <row r="134" ht="15.75" customHeight="1" s="66">
      <c r="A134" s="22" t="n">
        <v>31</v>
      </c>
      <c r="B134" s="23" t="inlineStr">
        <is>
          <t>Adv RAG – Hybrid (BM25+Vector)</t>
        </is>
      </c>
      <c r="C134" s="24" t="inlineStr">
        <is>
          <t>NVIDIA</t>
        </is>
      </c>
      <c r="D134" s="22" t="inlineStr">
        <is>
          <t>10-K</t>
        </is>
      </c>
      <c r="E134" s="22" t="n">
        <v>2024</v>
      </c>
      <c r="F134" s="19" t="inlineStr">
        <is>
          <t>paraphrased</t>
        </is>
      </c>
      <c r="G134" s="17" t="inlineStr">
        <is>
          <t>ANSWER</t>
        </is>
      </c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</row>
    <row r="135" ht="15.75" customHeight="1" s="66">
      <c r="A135" s="22" t="n">
        <v>32</v>
      </c>
      <c r="B135" s="23" t="inlineStr">
        <is>
          <t>Adv RAG – Hybrid (BM25+Vector)</t>
        </is>
      </c>
      <c r="C135" s="24" t="inlineStr">
        <is>
          <t>NVIDIA</t>
        </is>
      </c>
      <c r="D135" s="22" t="inlineStr">
        <is>
          <t>10-K</t>
        </is>
      </c>
      <c r="E135" s="22" t="n">
        <v>2025</v>
      </c>
      <c r="F135" s="19" t="inlineStr">
        <is>
          <t>paraphrased</t>
        </is>
      </c>
      <c r="G135" s="17" t="inlineStr">
        <is>
          <t>ANSWER</t>
        </is>
      </c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</row>
    <row r="136" ht="15.75" customHeight="1" s="66">
      <c r="A136" s="22" t="n">
        <v>33</v>
      </c>
      <c r="B136" s="23" t="inlineStr">
        <is>
          <t>Adv RAG – Hybrid (BM25+Vector)</t>
        </is>
      </c>
      <c r="C136" s="24" t="inlineStr">
        <is>
          <t>JPMorgan Chase</t>
        </is>
      </c>
      <c r="D136" s="22" t="inlineStr">
        <is>
          <t>10-K</t>
        </is>
      </c>
      <c r="E136" s="22" t="n">
        <v>2023</v>
      </c>
      <c r="F136" s="19" t="inlineStr">
        <is>
          <t>paraphrased</t>
        </is>
      </c>
      <c r="G136" s="17" t="inlineStr">
        <is>
          <t>ANSWER</t>
        </is>
      </c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</row>
    <row r="137" ht="15.75" customHeight="1" s="66">
      <c r="A137" s="22" t="n">
        <v>34</v>
      </c>
      <c r="B137" s="23" t="inlineStr">
        <is>
          <t>Adv RAG – Hybrid (BM25+Vector)</t>
        </is>
      </c>
      <c r="C137" s="24" t="inlineStr">
        <is>
          <t>JPMorgan Chase</t>
        </is>
      </c>
      <c r="D137" s="22" t="inlineStr">
        <is>
          <t>10-K</t>
        </is>
      </c>
      <c r="E137" s="22" t="n">
        <v>2024</v>
      </c>
      <c r="F137" s="19" t="inlineStr">
        <is>
          <t>paraphrased</t>
        </is>
      </c>
      <c r="G137" s="17" t="inlineStr">
        <is>
          <t>ANSWER</t>
        </is>
      </c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</row>
    <row r="138" ht="15.75" customHeight="1" s="66">
      <c r="A138" s="22" t="n">
        <v>35</v>
      </c>
      <c r="B138" s="23" t="inlineStr">
        <is>
          <t>Adv RAG – Hybrid (BM25+Vector)</t>
        </is>
      </c>
      <c r="C138" s="24" t="inlineStr">
        <is>
          <t>Bank of America</t>
        </is>
      </c>
      <c r="D138" s="22" t="inlineStr">
        <is>
          <t>10-Q</t>
        </is>
      </c>
      <c r="E138" s="22" t="n">
        <v>2025</v>
      </c>
      <c r="F138" s="19" t="inlineStr">
        <is>
          <t>paraphrased</t>
        </is>
      </c>
      <c r="G138" s="17" t="inlineStr">
        <is>
          <t>ANSWER</t>
        </is>
      </c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</row>
    <row r="139" ht="15.75" customHeight="1" s="66">
      <c r="A139" s="22" t="n">
        <v>36</v>
      </c>
      <c r="B139" s="23" t="inlineStr">
        <is>
          <t>Adv RAG – Hybrid (BM25+Vector)</t>
        </is>
      </c>
      <c r="C139" s="24" t="inlineStr">
        <is>
          <t>Bank of America</t>
        </is>
      </c>
      <c r="D139" s="22" t="inlineStr">
        <is>
          <t>10-K</t>
        </is>
      </c>
      <c r="E139" s="22" t="n">
        <v>2024</v>
      </c>
      <c r="F139" s="19" t="inlineStr">
        <is>
          <t>paraphrased</t>
        </is>
      </c>
      <c r="G139" s="17" t="inlineStr">
        <is>
          <t>ANSWER</t>
        </is>
      </c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</row>
    <row r="140" ht="15.75" customHeight="1" s="66">
      <c r="A140" s="22" t="n">
        <v>37</v>
      </c>
      <c r="B140" s="23" t="inlineStr">
        <is>
          <t>Adv RAG – Hybrid (BM25+Vector)</t>
        </is>
      </c>
      <c r="C140" s="24" t="inlineStr">
        <is>
          <t>Berkshire Hathaway</t>
        </is>
      </c>
      <c r="D140" s="22" t="inlineStr">
        <is>
          <t>10-K</t>
        </is>
      </c>
      <c r="E140" s="22" t="n">
        <v>2025</v>
      </c>
      <c r="F140" s="19" t="inlineStr">
        <is>
          <t>paraphrased</t>
        </is>
      </c>
      <c r="G140" s="17" t="inlineStr">
        <is>
          <t>ANSWER</t>
        </is>
      </c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</row>
    <row r="141" ht="15.75" customHeight="1" s="66">
      <c r="A141" s="22" t="n">
        <v>38</v>
      </c>
      <c r="B141" s="23" t="inlineStr">
        <is>
          <t>Adv RAG – Hybrid (BM25+Vector)</t>
        </is>
      </c>
      <c r="C141" s="24" t="inlineStr">
        <is>
          <t>Berkshire Hathaway</t>
        </is>
      </c>
      <c r="D141" s="22" t="inlineStr">
        <is>
          <t>10-Q</t>
        </is>
      </c>
      <c r="E141" s="22" t="n">
        <v>2023</v>
      </c>
      <c r="F141" s="19" t="inlineStr">
        <is>
          <t>paraphrased</t>
        </is>
      </c>
      <c r="G141" s="17" t="inlineStr">
        <is>
          <t>ANSWER</t>
        </is>
      </c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</row>
    <row r="142" ht="15.75" customHeight="1" s="66">
      <c r="A142" s="22" t="n">
        <v>39</v>
      </c>
      <c r="B142" s="23" t="inlineStr">
        <is>
          <t>Adv RAG – Hybrid (BM25+Vector)</t>
        </is>
      </c>
      <c r="C142" s="24" t="inlineStr">
        <is>
          <t>Johnson &amp; Johnson</t>
        </is>
      </c>
      <c r="D142" s="22" t="inlineStr">
        <is>
          <t>10-Q</t>
        </is>
      </c>
      <c r="E142" s="22" t="n">
        <v>2025</v>
      </c>
      <c r="F142" s="19" t="inlineStr">
        <is>
          <t>paraphrased</t>
        </is>
      </c>
      <c r="G142" s="17" t="inlineStr">
        <is>
          <t>ANSWER</t>
        </is>
      </c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</row>
    <row r="143" ht="15.75" customHeight="1" s="66">
      <c r="A143" s="22" t="n">
        <v>40</v>
      </c>
      <c r="B143" s="23" t="inlineStr">
        <is>
          <t>Adv RAG – Hybrid (BM25+Vector)</t>
        </is>
      </c>
      <c r="C143" s="24" t="inlineStr">
        <is>
          <t>Johnson &amp; Johnson</t>
        </is>
      </c>
      <c r="D143" s="22" t="inlineStr">
        <is>
          <t>10-K</t>
        </is>
      </c>
      <c r="E143" s="22" t="n">
        <v>2025</v>
      </c>
      <c r="F143" s="19" t="inlineStr">
        <is>
          <t>paraphrased</t>
        </is>
      </c>
      <c r="G143" s="17" t="inlineStr">
        <is>
          <t>ANSWER</t>
        </is>
      </c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</row>
    <row r="144" ht="15.75" customHeight="1" s="66">
      <c r="A144" s="22" t="n">
        <v>41</v>
      </c>
      <c r="B144" s="23" t="inlineStr">
        <is>
          <t>Adv RAG – Hybrid (BM25+Vector)</t>
        </is>
      </c>
      <c r="C144" s="24" t="inlineStr">
        <is>
          <t>UnitedHealth Group</t>
        </is>
      </c>
      <c r="D144" s="22" t="inlineStr">
        <is>
          <t>10-Q</t>
        </is>
      </c>
      <c r="E144" s="22" t="n">
        <v>2024</v>
      </c>
      <c r="F144" s="19" t="inlineStr">
        <is>
          <t>paraphrased</t>
        </is>
      </c>
      <c r="G144" s="17" t="inlineStr">
        <is>
          <t>ANSWER</t>
        </is>
      </c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</row>
    <row r="145" ht="15.75" customHeight="1" s="66">
      <c r="A145" s="22" t="n">
        <v>42</v>
      </c>
      <c r="B145" s="23" t="inlineStr">
        <is>
          <t>Adv RAG – Hybrid (BM25+Vector)</t>
        </is>
      </c>
      <c r="C145" s="24" t="inlineStr">
        <is>
          <t>UnitedHealth Group</t>
        </is>
      </c>
      <c r="D145" s="22" t="inlineStr">
        <is>
          <t>10-K</t>
        </is>
      </c>
      <c r="E145" s="22" t="n">
        <v>2023</v>
      </c>
      <c r="F145" s="19" t="inlineStr">
        <is>
          <t>paraphrased</t>
        </is>
      </c>
      <c r="G145" s="17" t="inlineStr">
        <is>
          <t>ANSWER</t>
        </is>
      </c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</row>
    <row r="146" ht="15.75" customHeight="1" s="66">
      <c r="A146" s="22" t="n">
        <v>43</v>
      </c>
      <c r="B146" s="23" t="inlineStr">
        <is>
          <t>Adv RAG – Hybrid (BM25+Vector)</t>
        </is>
      </c>
      <c r="C146" s="24" t="inlineStr">
        <is>
          <t>Exxon Mobil</t>
        </is>
      </c>
      <c r="D146" s="22" t="inlineStr">
        <is>
          <t>10-K</t>
        </is>
      </c>
      <c r="E146" s="22" t="n">
        <v>2023</v>
      </c>
      <c r="F146" s="19" t="inlineStr">
        <is>
          <t>paraphrased</t>
        </is>
      </c>
      <c r="G146" s="17" t="inlineStr">
        <is>
          <t>ANSWER</t>
        </is>
      </c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</row>
    <row r="147" ht="15.75" customHeight="1" s="66">
      <c r="A147" s="22" t="n">
        <v>44</v>
      </c>
      <c r="B147" s="23" t="inlineStr">
        <is>
          <t>Adv RAG – Hybrid (BM25+Vector)</t>
        </is>
      </c>
      <c r="C147" s="24" t="inlineStr">
        <is>
          <t>Exxon Mobil</t>
        </is>
      </c>
      <c r="D147" s="22" t="inlineStr">
        <is>
          <t>10-Q</t>
        </is>
      </c>
      <c r="E147" s="22" t="n">
        <v>2025</v>
      </c>
      <c r="F147" s="19" t="inlineStr">
        <is>
          <t>paraphrased</t>
        </is>
      </c>
      <c r="G147" s="17" t="inlineStr">
        <is>
          <t>ANSWER</t>
        </is>
      </c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</row>
    <row r="148" ht="15.75" customHeight="1" s="66">
      <c r="A148" s="22" t="n">
        <v>45</v>
      </c>
      <c r="B148" s="23" t="inlineStr">
        <is>
          <t>Adv RAG – Hybrid (BM25+Vector)</t>
        </is>
      </c>
      <c r="C148" s="24" t="inlineStr">
        <is>
          <t>Chevron</t>
        </is>
      </c>
      <c r="D148" s="22" t="inlineStr">
        <is>
          <t>10-Q</t>
        </is>
      </c>
      <c r="E148" s="22" t="n">
        <v>2024</v>
      </c>
      <c r="F148" s="19" t="inlineStr">
        <is>
          <t>paraphrased</t>
        </is>
      </c>
      <c r="G148" s="17" t="inlineStr">
        <is>
          <t>ANSWER</t>
        </is>
      </c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</row>
    <row r="149" ht="15.75" customHeight="1" s="66">
      <c r="A149" s="22" t="n">
        <v>46</v>
      </c>
      <c r="B149" s="23" t="inlineStr">
        <is>
          <t>Adv RAG – Hybrid (BM25+Vector)</t>
        </is>
      </c>
      <c r="C149" s="24" t="inlineStr">
        <is>
          <t>Chevron</t>
        </is>
      </c>
      <c r="D149" s="22" t="inlineStr">
        <is>
          <t>10-K</t>
        </is>
      </c>
      <c r="E149" s="22" t="n">
        <v>2025</v>
      </c>
      <c r="F149" s="19" t="inlineStr">
        <is>
          <t>paraphrased</t>
        </is>
      </c>
      <c r="G149" s="17" t="inlineStr">
        <is>
          <t>ANSWER</t>
        </is>
      </c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</row>
    <row r="150" ht="15.75" customHeight="1" s="66">
      <c r="A150" s="22" t="n">
        <v>47</v>
      </c>
      <c r="B150" s="23" t="inlineStr">
        <is>
          <t>Adv RAG – Hybrid (BM25+Vector)</t>
        </is>
      </c>
      <c r="C150" s="24" t="inlineStr">
        <is>
          <t>Walmart</t>
        </is>
      </c>
      <c r="D150" s="22" t="inlineStr">
        <is>
          <t>10-Q</t>
        </is>
      </c>
      <c r="E150" s="22" t="n">
        <v>2025</v>
      </c>
      <c r="F150" s="19" t="inlineStr">
        <is>
          <t>paraphrased</t>
        </is>
      </c>
      <c r="G150" s="17" t="inlineStr">
        <is>
          <t>ANSWER</t>
        </is>
      </c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</row>
    <row r="151" ht="15.75" customHeight="1" s="66">
      <c r="A151" s="22" t="n">
        <v>48</v>
      </c>
      <c r="B151" s="23" t="inlineStr">
        <is>
          <t>Adv RAG – Hybrid (BM25+Vector)</t>
        </is>
      </c>
      <c r="C151" s="24" t="inlineStr">
        <is>
          <t>Walmart</t>
        </is>
      </c>
      <c r="D151" s="22" t="inlineStr">
        <is>
          <t>10-K</t>
        </is>
      </c>
      <c r="E151" s="22" t="n">
        <v>2025</v>
      </c>
      <c r="F151" s="19" t="inlineStr">
        <is>
          <t>paraphrased</t>
        </is>
      </c>
      <c r="G151" s="17" t="inlineStr">
        <is>
          <t>ANSWER</t>
        </is>
      </c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</row>
    <row r="152" ht="15.75" customHeight="1" s="66">
      <c r="A152" s="22" t="n">
        <v>49</v>
      </c>
      <c r="B152" s="23" t="inlineStr">
        <is>
          <t>Adv RAG – Hybrid (BM25+Vector)</t>
        </is>
      </c>
      <c r="C152" s="24" t="inlineStr">
        <is>
          <t>Costco</t>
        </is>
      </c>
      <c r="D152" s="22" t="inlineStr">
        <is>
          <t>10-K</t>
        </is>
      </c>
      <c r="E152" s="22" t="n">
        <v>2025</v>
      </c>
      <c r="F152" s="19" t="inlineStr">
        <is>
          <t>paraphrased</t>
        </is>
      </c>
      <c r="G152" s="17" t="inlineStr">
        <is>
          <t>ANSWER</t>
        </is>
      </c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</row>
    <row r="153" ht="15.75" customHeight="1" s="66">
      <c r="A153" s="22" t="n">
        <v>50</v>
      </c>
      <c r="B153" s="23" t="inlineStr">
        <is>
          <t>Adv RAG – Hybrid (BM25+Vector)</t>
        </is>
      </c>
      <c r="C153" s="24" t="inlineStr">
        <is>
          <t>Costco</t>
        </is>
      </c>
      <c r="D153" s="22" t="inlineStr">
        <is>
          <t>10-Q</t>
        </is>
      </c>
      <c r="E153" s="22" t="n">
        <v>2023</v>
      </c>
      <c r="F153" s="19" t="inlineStr">
        <is>
          <t>paraphrased</t>
        </is>
      </c>
      <c r="G153" s="17" t="inlineStr">
        <is>
          <t>ANSWER</t>
        </is>
      </c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</row>
    <row r="154" ht="15.75" customHeight="1" s="66">
      <c r="A154" s="22" t="n">
        <v>51</v>
      </c>
      <c r="B154" s="23" t="inlineStr">
        <is>
          <t>Adv RAG – Hybrid (BM25+Vector)</t>
        </is>
      </c>
      <c r="C154" s="24" t="inlineStr">
        <is>
          <t>Apple</t>
        </is>
      </c>
      <c r="D154" s="22" t="inlineStr">
        <is>
          <t>10-K</t>
        </is>
      </c>
      <c r="E154" s="22" t="n">
        <v>2023</v>
      </c>
      <c r="F154" s="17" t="inlineStr">
        <is>
          <t>reasoning</t>
        </is>
      </c>
      <c r="G154" s="17" t="inlineStr">
        <is>
          <t>ANSWER</t>
        </is>
      </c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</row>
    <row r="155" ht="15.75" customHeight="1" s="66">
      <c r="A155" s="22" t="n">
        <v>52</v>
      </c>
      <c r="B155" s="23" t="inlineStr">
        <is>
          <t>Adv RAG – Hybrid (BM25+Vector)</t>
        </is>
      </c>
      <c r="C155" s="24" t="inlineStr">
        <is>
          <t>Apple</t>
        </is>
      </c>
      <c r="D155" s="22" t="inlineStr">
        <is>
          <t>10-Q</t>
        </is>
      </c>
      <c r="E155" s="22" t="n">
        <v>2025</v>
      </c>
      <c r="F155" s="17" t="inlineStr">
        <is>
          <t>reasoning</t>
        </is>
      </c>
      <c r="G155" s="17" t="inlineStr">
        <is>
          <t>ANSWER</t>
        </is>
      </c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</row>
    <row r="156" ht="15.75" customHeight="1" s="66">
      <c r="A156" s="22" t="n">
        <v>53</v>
      </c>
      <c r="B156" s="23" t="inlineStr">
        <is>
          <t>Adv RAG – Hybrid (BM25+Vector)</t>
        </is>
      </c>
      <c r="C156" s="24" t="inlineStr">
        <is>
          <t>Microsoft</t>
        </is>
      </c>
      <c r="D156" s="22" t="inlineStr">
        <is>
          <t>10-K</t>
        </is>
      </c>
      <c r="E156" s="22" t="n">
        <v>2023</v>
      </c>
      <c r="F156" s="17" t="inlineStr">
        <is>
          <t>reasoning</t>
        </is>
      </c>
      <c r="G156" s="17" t="inlineStr">
        <is>
          <t>ANSWER</t>
        </is>
      </c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</row>
    <row r="157" ht="15.75" customHeight="1" s="66">
      <c r="A157" s="22" t="n">
        <v>54</v>
      </c>
      <c r="B157" s="23" t="inlineStr">
        <is>
          <t>Adv RAG – Hybrid (BM25+Vector)</t>
        </is>
      </c>
      <c r="C157" s="24" t="inlineStr">
        <is>
          <t>Microsoft</t>
        </is>
      </c>
      <c r="D157" s="22" t="inlineStr">
        <is>
          <t>10-Q</t>
        </is>
      </c>
      <c r="E157" s="22" t="n">
        <v>2024</v>
      </c>
      <c r="F157" s="17" t="inlineStr">
        <is>
          <t>reasoning</t>
        </is>
      </c>
      <c r="G157" s="17" t="inlineStr">
        <is>
          <t>ANSWER</t>
        </is>
      </c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</row>
    <row r="158" ht="15.75" customHeight="1" s="66">
      <c r="A158" s="22" t="n">
        <v>55</v>
      </c>
      <c r="B158" s="23" t="inlineStr">
        <is>
          <t>Adv RAG – Hybrid (BM25+Vector)</t>
        </is>
      </c>
      <c r="C158" s="24" t="inlineStr">
        <is>
          <t>NVIDIA</t>
        </is>
      </c>
      <c r="D158" s="22" t="inlineStr">
        <is>
          <t>10-K</t>
        </is>
      </c>
      <c r="E158" s="22" t="n">
        <v>2024</v>
      </c>
      <c r="F158" s="17" t="inlineStr">
        <is>
          <t>reasoning</t>
        </is>
      </c>
      <c r="G158" s="17" t="inlineStr">
        <is>
          <t>ANSWER</t>
        </is>
      </c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</row>
    <row r="159" ht="15.75" customHeight="1" s="66">
      <c r="A159" s="22" t="n">
        <v>56</v>
      </c>
      <c r="B159" s="23" t="inlineStr">
        <is>
          <t>Adv RAG – Hybrid (BM25+Vector)</t>
        </is>
      </c>
      <c r="C159" s="24" t="inlineStr">
        <is>
          <t>NVIDIA</t>
        </is>
      </c>
      <c r="D159" s="22" t="inlineStr">
        <is>
          <t>10-Q</t>
        </is>
      </c>
      <c r="E159" s="22" t="n">
        <v>2025</v>
      </c>
      <c r="F159" s="17" t="inlineStr">
        <is>
          <t>reasoning</t>
        </is>
      </c>
      <c r="G159" s="17" t="inlineStr">
        <is>
          <t>ANSWER</t>
        </is>
      </c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</row>
    <row r="160" ht="15.75" customHeight="1" s="66">
      <c r="A160" s="22" t="n">
        <v>57</v>
      </c>
      <c r="B160" s="23" t="inlineStr">
        <is>
          <t>Adv RAG – Hybrid (BM25+Vector)</t>
        </is>
      </c>
      <c r="C160" s="24" t="inlineStr">
        <is>
          <t>NVIDIA</t>
        </is>
      </c>
      <c r="D160" s="22" t="inlineStr">
        <is>
          <t>10-K</t>
        </is>
      </c>
      <c r="E160" s="22" t="n">
        <v>2024</v>
      </c>
      <c r="F160" s="17" t="inlineStr">
        <is>
          <t>reasoning</t>
        </is>
      </c>
      <c r="G160" s="17" t="inlineStr">
        <is>
          <t>ANSWER</t>
        </is>
      </c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</row>
    <row r="161" ht="15.75" customHeight="1" s="66">
      <c r="A161" s="22" t="n">
        <v>58</v>
      </c>
      <c r="B161" s="23" t="inlineStr">
        <is>
          <t>Adv RAG – Hybrid (BM25+Vector)</t>
        </is>
      </c>
      <c r="C161" s="24" t="inlineStr">
        <is>
          <t>JPMorgan Chase</t>
        </is>
      </c>
      <c r="D161" s="22" t="inlineStr">
        <is>
          <t>10-K</t>
        </is>
      </c>
      <c r="E161" s="22" t="n">
        <v>2025</v>
      </c>
      <c r="F161" s="17" t="inlineStr">
        <is>
          <t>reasoning</t>
        </is>
      </c>
      <c r="G161" s="17" t="inlineStr">
        <is>
          <t>ANSWER</t>
        </is>
      </c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</row>
    <row r="162" ht="15.75" customHeight="1" s="66">
      <c r="A162" s="22" t="n">
        <v>59</v>
      </c>
      <c r="B162" s="23" t="inlineStr">
        <is>
          <t>Adv RAG – Hybrid (BM25+Vector)</t>
        </is>
      </c>
      <c r="C162" s="24" t="inlineStr">
        <is>
          <t>JPMorgan Chase</t>
        </is>
      </c>
      <c r="D162" s="22" t="inlineStr">
        <is>
          <t>10-Q</t>
        </is>
      </c>
      <c r="E162" s="22" t="n">
        <v>2024</v>
      </c>
      <c r="F162" s="17" t="inlineStr">
        <is>
          <t>reasoning</t>
        </is>
      </c>
      <c r="G162" s="17" t="inlineStr">
        <is>
          <t>ANSWER</t>
        </is>
      </c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</row>
    <row r="163" ht="15.75" customHeight="1" s="66">
      <c r="A163" s="22" t="n">
        <v>60</v>
      </c>
      <c r="B163" s="23" t="inlineStr">
        <is>
          <t>Adv RAG – Hybrid (BM25+Vector)</t>
        </is>
      </c>
      <c r="C163" s="24" t="inlineStr">
        <is>
          <t>Bank of America</t>
        </is>
      </c>
      <c r="D163" s="22" t="inlineStr">
        <is>
          <t>10-K</t>
        </is>
      </c>
      <c r="E163" s="22" t="n">
        <v>2025</v>
      </c>
      <c r="F163" s="17" t="inlineStr">
        <is>
          <t>reasoning</t>
        </is>
      </c>
      <c r="G163" s="17" t="inlineStr">
        <is>
          <t>ANSWER</t>
        </is>
      </c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</row>
    <row r="164" ht="15.75" customHeight="1" s="66">
      <c r="A164" s="22" t="n">
        <v>61</v>
      </c>
      <c r="B164" s="23" t="inlineStr">
        <is>
          <t>Adv RAG – Hybrid (BM25+Vector)</t>
        </is>
      </c>
      <c r="C164" s="24" t="inlineStr">
        <is>
          <t>Bank of America</t>
        </is>
      </c>
      <c r="D164" s="22" t="inlineStr">
        <is>
          <t>10-Q</t>
        </is>
      </c>
      <c r="E164" s="22" t="n">
        <v>2025</v>
      </c>
      <c r="F164" s="17" t="inlineStr">
        <is>
          <t>reasoning</t>
        </is>
      </c>
      <c r="G164" s="17" t="inlineStr">
        <is>
          <t>ANSWER</t>
        </is>
      </c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</row>
    <row r="165" ht="15.75" customHeight="1" s="66">
      <c r="A165" s="22" t="n">
        <v>62</v>
      </c>
      <c r="B165" s="23" t="inlineStr">
        <is>
          <t>Adv RAG – Hybrid (BM25+Vector)</t>
        </is>
      </c>
      <c r="C165" s="24" t="inlineStr">
        <is>
          <t>Berkshire Hathaway</t>
        </is>
      </c>
      <c r="D165" s="22" t="inlineStr">
        <is>
          <t>10-Q</t>
        </is>
      </c>
      <c r="E165" s="22" t="n">
        <v>2024</v>
      </c>
      <c r="F165" s="17" t="inlineStr">
        <is>
          <t>reasoning</t>
        </is>
      </c>
      <c r="G165" s="17" t="inlineStr">
        <is>
          <t>ANSWER</t>
        </is>
      </c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</row>
    <row r="166" ht="15.75" customHeight="1" s="66">
      <c r="A166" s="22" t="n">
        <v>63</v>
      </c>
      <c r="B166" s="23" t="inlineStr">
        <is>
          <t>Adv RAG – Hybrid (BM25+Vector)</t>
        </is>
      </c>
      <c r="C166" s="24" t="inlineStr">
        <is>
          <t>Berkshire Hathaway</t>
        </is>
      </c>
      <c r="D166" s="22" t="inlineStr">
        <is>
          <t>10-K</t>
        </is>
      </c>
      <c r="E166" s="22" t="n">
        <v>2026</v>
      </c>
      <c r="F166" s="17" t="inlineStr">
        <is>
          <t>reasoning</t>
        </is>
      </c>
      <c r="G166" s="17" t="inlineStr">
        <is>
          <t>ANSWER</t>
        </is>
      </c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</row>
    <row r="167" ht="15.75" customHeight="1" s="66">
      <c r="A167" s="22" t="n">
        <v>64</v>
      </c>
      <c r="B167" s="23" t="inlineStr">
        <is>
          <t>Adv RAG – Hybrid (BM25+Vector)</t>
        </is>
      </c>
      <c r="C167" s="24" t="inlineStr">
        <is>
          <t>Johnson &amp; Johnson</t>
        </is>
      </c>
      <c r="D167" s="22" t="inlineStr">
        <is>
          <t>10-K</t>
        </is>
      </c>
      <c r="E167" s="22" t="n">
        <v>2025</v>
      </c>
      <c r="F167" s="17" t="inlineStr">
        <is>
          <t>reasoning</t>
        </is>
      </c>
      <c r="G167" s="17" t="inlineStr">
        <is>
          <t>ANSWER</t>
        </is>
      </c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</row>
    <row r="168" ht="15.75" customHeight="1" s="66">
      <c r="A168" s="22" t="n">
        <v>65</v>
      </c>
      <c r="B168" s="23" t="inlineStr">
        <is>
          <t>Adv RAG – Hybrid (BM25+Vector)</t>
        </is>
      </c>
      <c r="C168" s="24" t="inlineStr">
        <is>
          <t>Johnson &amp; Johnson</t>
        </is>
      </c>
      <c r="D168" s="22" t="inlineStr">
        <is>
          <t>10-Q</t>
        </is>
      </c>
      <c r="E168" s="22" t="n">
        <v>2023</v>
      </c>
      <c r="F168" s="17" t="inlineStr">
        <is>
          <t>reasoning</t>
        </is>
      </c>
      <c r="G168" s="17" t="inlineStr">
        <is>
          <t>ANSWER</t>
        </is>
      </c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</row>
    <row r="169" ht="15.75" customHeight="1" s="66">
      <c r="A169" s="22" t="n">
        <v>66</v>
      </c>
      <c r="B169" s="23" t="inlineStr">
        <is>
          <t>Adv RAG – Hybrid (BM25+Vector)</t>
        </is>
      </c>
      <c r="C169" s="24" t="inlineStr">
        <is>
          <t>UnitedHealth Group</t>
        </is>
      </c>
      <c r="D169" s="22" t="inlineStr">
        <is>
          <t>10-K</t>
        </is>
      </c>
      <c r="E169" s="22" t="n">
        <v>2025</v>
      </c>
      <c r="F169" s="17" t="inlineStr">
        <is>
          <t>reasoning</t>
        </is>
      </c>
      <c r="G169" s="17" t="inlineStr">
        <is>
          <t>ANSWER</t>
        </is>
      </c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</row>
    <row r="170" ht="15.75" customHeight="1" s="66">
      <c r="A170" s="22" t="n">
        <v>67</v>
      </c>
      <c r="B170" s="23" t="inlineStr">
        <is>
          <t>Adv RAG – Hybrid (BM25+Vector)</t>
        </is>
      </c>
      <c r="C170" s="24" t="inlineStr">
        <is>
          <t>UnitedHealth Group</t>
        </is>
      </c>
      <c r="D170" s="22" t="inlineStr">
        <is>
          <t>10-Q</t>
        </is>
      </c>
      <c r="E170" s="22" t="n">
        <v>2025</v>
      </c>
      <c r="F170" s="17" t="inlineStr">
        <is>
          <t>reasoning</t>
        </is>
      </c>
      <c r="G170" s="17" t="inlineStr">
        <is>
          <t>ANSWER</t>
        </is>
      </c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</row>
    <row r="171" ht="15.75" customHeight="1" s="66">
      <c r="A171" s="22" t="n">
        <v>68</v>
      </c>
      <c r="B171" s="23" t="inlineStr">
        <is>
          <t>Adv RAG – Hybrid (BM25+Vector)</t>
        </is>
      </c>
      <c r="C171" s="24" t="inlineStr">
        <is>
          <t>Exxon Mobil</t>
        </is>
      </c>
      <c r="D171" s="22" t="inlineStr">
        <is>
          <t>10-K</t>
        </is>
      </c>
      <c r="E171" s="22" t="n">
        <v>2025</v>
      </c>
      <c r="F171" s="17" t="inlineStr">
        <is>
          <t>reasoning</t>
        </is>
      </c>
      <c r="G171" s="17" t="inlineStr">
        <is>
          <t>ANSWER</t>
        </is>
      </c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</row>
    <row r="172" ht="15.75" customHeight="1" s="66">
      <c r="A172" s="22" t="n">
        <v>69</v>
      </c>
      <c r="B172" s="23" t="inlineStr">
        <is>
          <t>Adv RAG – Hybrid (BM25+Vector)</t>
        </is>
      </c>
      <c r="C172" s="24" t="inlineStr">
        <is>
          <t>Exxon Mobil</t>
        </is>
      </c>
      <c r="D172" s="22" t="inlineStr">
        <is>
          <t>10-Q</t>
        </is>
      </c>
      <c r="E172" s="22" t="n">
        <v>2024</v>
      </c>
      <c r="F172" s="17" t="inlineStr">
        <is>
          <t>reasoning</t>
        </is>
      </c>
      <c r="G172" s="17" t="inlineStr">
        <is>
          <t>ANSWER</t>
        </is>
      </c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</row>
    <row r="173" ht="15.75" customHeight="1" s="66">
      <c r="A173" s="22" t="n">
        <v>70</v>
      </c>
      <c r="B173" s="23" t="inlineStr">
        <is>
          <t>Adv RAG – Hybrid (BM25+Vector)</t>
        </is>
      </c>
      <c r="C173" s="24" t="inlineStr">
        <is>
          <t>Chevron</t>
        </is>
      </c>
      <c r="D173" s="22" t="inlineStr">
        <is>
          <t>10-K</t>
        </is>
      </c>
      <c r="E173" s="22" t="n">
        <v>2025</v>
      </c>
      <c r="F173" s="17" t="inlineStr">
        <is>
          <t>reasoning</t>
        </is>
      </c>
      <c r="G173" s="17" t="inlineStr">
        <is>
          <t>ANSWER</t>
        </is>
      </c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</row>
    <row r="174" ht="15.75" customHeight="1" s="66">
      <c r="A174" s="22" t="n">
        <v>71</v>
      </c>
      <c r="B174" s="23" t="inlineStr">
        <is>
          <t>Adv RAG – Hybrid (BM25+Vector)</t>
        </is>
      </c>
      <c r="C174" s="24" t="inlineStr">
        <is>
          <t>Chevron</t>
        </is>
      </c>
      <c r="D174" s="22" t="inlineStr">
        <is>
          <t>10-Q</t>
        </is>
      </c>
      <c r="E174" s="22" t="n">
        <v>2024</v>
      </c>
      <c r="F174" s="17" t="inlineStr">
        <is>
          <t>reasoning</t>
        </is>
      </c>
      <c r="G174" s="17" t="inlineStr">
        <is>
          <t>ANSWER</t>
        </is>
      </c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</row>
    <row r="175" ht="15.75" customHeight="1" s="66">
      <c r="A175" s="22" t="n">
        <v>72</v>
      </c>
      <c r="B175" s="23" t="inlineStr">
        <is>
          <t>Adv RAG – Hybrid (BM25+Vector)</t>
        </is>
      </c>
      <c r="C175" s="24" t="inlineStr">
        <is>
          <t>Walmart</t>
        </is>
      </c>
      <c r="D175" s="22" t="inlineStr">
        <is>
          <t>10-K</t>
        </is>
      </c>
      <c r="E175" s="22" t="n">
        <v>2024</v>
      </c>
      <c r="F175" s="17" t="inlineStr">
        <is>
          <t>reasoning</t>
        </is>
      </c>
      <c r="G175" s="17" t="inlineStr">
        <is>
          <t>ANSWER</t>
        </is>
      </c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</row>
    <row r="176" ht="15.75" customHeight="1" s="66">
      <c r="A176" s="22" t="n">
        <v>73</v>
      </c>
      <c r="B176" s="23" t="inlineStr">
        <is>
          <t>Adv RAG – Hybrid (BM25+Vector)</t>
        </is>
      </c>
      <c r="C176" s="24" t="inlineStr">
        <is>
          <t>Walmart</t>
        </is>
      </c>
      <c r="D176" s="22" t="inlineStr">
        <is>
          <t>10-Q</t>
        </is>
      </c>
      <c r="E176" s="22" t="n">
        <v>2025</v>
      </c>
      <c r="F176" s="17" t="inlineStr">
        <is>
          <t>reasoning</t>
        </is>
      </c>
      <c r="G176" s="17" t="inlineStr">
        <is>
          <t>ANSWER</t>
        </is>
      </c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</row>
    <row r="177" ht="15.75" customHeight="1" s="66">
      <c r="A177" s="22" t="n">
        <v>74</v>
      </c>
      <c r="B177" s="23" t="inlineStr">
        <is>
          <t>Adv RAG – Hybrid (BM25+Vector)</t>
        </is>
      </c>
      <c r="C177" s="24" t="inlineStr">
        <is>
          <t>Costco</t>
        </is>
      </c>
      <c r="D177" s="22" t="inlineStr">
        <is>
          <t>10-Q</t>
        </is>
      </c>
      <c r="E177" s="22" t="n">
        <v>2025</v>
      </c>
      <c r="F177" s="17" t="inlineStr">
        <is>
          <t>reasoning</t>
        </is>
      </c>
      <c r="G177" s="17" t="inlineStr">
        <is>
          <t>ANSWER</t>
        </is>
      </c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</row>
    <row r="178" ht="15.75" customHeight="1" s="66">
      <c r="A178" s="22" t="n">
        <v>75</v>
      </c>
      <c r="B178" s="23" t="inlineStr">
        <is>
          <t>Adv RAG – Hybrid (BM25+Vector)</t>
        </is>
      </c>
      <c r="C178" s="24" t="inlineStr">
        <is>
          <t>Costco</t>
        </is>
      </c>
      <c r="D178" s="22" t="inlineStr">
        <is>
          <t>10-Q</t>
        </is>
      </c>
      <c r="E178" s="22" t="n">
        <v>2024</v>
      </c>
      <c r="F178" s="17" t="inlineStr">
        <is>
          <t>reasoning</t>
        </is>
      </c>
      <c r="G178" s="17" t="inlineStr">
        <is>
          <t>ANSWER</t>
        </is>
      </c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</row>
    <row r="179" ht="15.75" customHeight="1" s="66">
      <c r="A179" s="22" t="n">
        <v>76</v>
      </c>
      <c r="B179" s="23" t="inlineStr">
        <is>
          <t>Adv RAG – Hybrid (BM25+Vector)</t>
        </is>
      </c>
      <c r="C179" s="24" t="inlineStr">
        <is>
          <t>Apple</t>
        </is>
      </c>
      <c r="D179" s="22" t="n"/>
      <c r="E179" s="22" t="n"/>
      <c r="F179" s="21" t="inlineStr">
        <is>
          <t>hallucination</t>
        </is>
      </c>
      <c r="G179" s="21" t="inlineStr">
        <is>
          <t>REFUSE</t>
        </is>
      </c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</row>
    <row r="180" ht="15.75" customHeight="1" s="66">
      <c r="A180" s="22" t="n">
        <v>77</v>
      </c>
      <c r="B180" s="23" t="inlineStr">
        <is>
          <t>Adv RAG – Hybrid (BM25+Vector)</t>
        </is>
      </c>
      <c r="C180" s="24" t="inlineStr">
        <is>
          <t>Apple</t>
        </is>
      </c>
      <c r="D180" s="22" t="n"/>
      <c r="E180" s="22" t="n"/>
      <c r="F180" s="21" t="inlineStr">
        <is>
          <t>hallucination</t>
        </is>
      </c>
      <c r="G180" s="21" t="inlineStr">
        <is>
          <t>REFUSE</t>
        </is>
      </c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</row>
    <row r="181" ht="15.75" customHeight="1" s="66">
      <c r="A181" s="22" t="n">
        <v>78</v>
      </c>
      <c r="B181" s="23" t="inlineStr">
        <is>
          <t>Adv RAG – Hybrid (BM25+Vector)</t>
        </is>
      </c>
      <c r="C181" s="24" t="inlineStr">
        <is>
          <t>Microsoft</t>
        </is>
      </c>
      <c r="D181" s="22" t="n"/>
      <c r="E181" s="22" t="n"/>
      <c r="F181" s="21" t="inlineStr">
        <is>
          <t>hallucination</t>
        </is>
      </c>
      <c r="G181" s="21" t="inlineStr">
        <is>
          <t>REFUSE</t>
        </is>
      </c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</row>
    <row r="182" ht="15.75" customHeight="1" s="66">
      <c r="A182" s="22" t="n">
        <v>79</v>
      </c>
      <c r="B182" s="23" t="inlineStr">
        <is>
          <t>Adv RAG – Hybrid (BM25+Vector)</t>
        </is>
      </c>
      <c r="C182" s="24" t="inlineStr">
        <is>
          <t>Microsoft</t>
        </is>
      </c>
      <c r="D182" s="22" t="n"/>
      <c r="E182" s="22" t="n"/>
      <c r="F182" s="21" t="inlineStr">
        <is>
          <t>hallucination</t>
        </is>
      </c>
      <c r="G182" s="21" t="inlineStr">
        <is>
          <t>REFUSE</t>
        </is>
      </c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</row>
    <row r="183" ht="15.75" customHeight="1" s="66">
      <c r="A183" s="22" t="n">
        <v>80</v>
      </c>
      <c r="B183" s="23" t="inlineStr">
        <is>
          <t>Adv RAG – Hybrid (BM25+Vector)</t>
        </is>
      </c>
      <c r="C183" s="24" t="inlineStr">
        <is>
          <t>NVIDIA</t>
        </is>
      </c>
      <c r="D183" s="22" t="n"/>
      <c r="E183" s="22" t="n"/>
      <c r="F183" s="21" t="inlineStr">
        <is>
          <t>hallucination</t>
        </is>
      </c>
      <c r="G183" s="21" t="inlineStr">
        <is>
          <t>REFUSE</t>
        </is>
      </c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</row>
    <row r="184" ht="15.75" customHeight="1" s="66">
      <c r="A184" s="22" t="n">
        <v>81</v>
      </c>
      <c r="B184" s="23" t="inlineStr">
        <is>
          <t>Adv RAG – Hybrid (BM25+Vector)</t>
        </is>
      </c>
      <c r="C184" s="24" t="inlineStr">
        <is>
          <t>NVIDIA</t>
        </is>
      </c>
      <c r="D184" s="22" t="n"/>
      <c r="E184" s="22" t="n"/>
      <c r="F184" s="21" t="inlineStr">
        <is>
          <t>hallucination</t>
        </is>
      </c>
      <c r="G184" s="21" t="inlineStr">
        <is>
          <t>REFUSE</t>
        </is>
      </c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</row>
    <row r="185" ht="15.75" customHeight="1" s="66">
      <c r="A185" s="22" t="n">
        <v>82</v>
      </c>
      <c r="B185" s="23" t="inlineStr">
        <is>
          <t>Adv RAG – Hybrid (BM25+Vector)</t>
        </is>
      </c>
      <c r="C185" s="24" t="inlineStr">
        <is>
          <t>NVIDIA</t>
        </is>
      </c>
      <c r="D185" s="22" t="n"/>
      <c r="E185" s="22" t="n"/>
      <c r="F185" s="21" t="inlineStr">
        <is>
          <t>hallucination</t>
        </is>
      </c>
      <c r="G185" s="21" t="inlineStr">
        <is>
          <t>REFUSE</t>
        </is>
      </c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</row>
    <row r="186" ht="15.75" customHeight="1" s="66">
      <c r="A186" s="22" t="n">
        <v>83</v>
      </c>
      <c r="B186" s="23" t="inlineStr">
        <is>
          <t>Adv RAG – Hybrid (BM25+Vector)</t>
        </is>
      </c>
      <c r="C186" s="24" t="inlineStr">
        <is>
          <t>JPMorgan Chase</t>
        </is>
      </c>
      <c r="D186" s="22" t="n"/>
      <c r="E186" s="22" t="n"/>
      <c r="F186" s="21" t="inlineStr">
        <is>
          <t>hallucination</t>
        </is>
      </c>
      <c r="G186" s="21" t="inlineStr">
        <is>
          <t>REFUSE</t>
        </is>
      </c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</row>
    <row r="187" ht="15.75" customHeight="1" s="66">
      <c r="A187" s="22" t="n">
        <v>84</v>
      </c>
      <c r="B187" s="23" t="inlineStr">
        <is>
          <t>Adv RAG – Hybrid (BM25+Vector)</t>
        </is>
      </c>
      <c r="C187" s="24" t="inlineStr">
        <is>
          <t>JPMorgan Chase</t>
        </is>
      </c>
      <c r="D187" s="22" t="n"/>
      <c r="E187" s="22" t="n"/>
      <c r="F187" s="21" t="inlineStr">
        <is>
          <t>hallucination</t>
        </is>
      </c>
      <c r="G187" s="21" t="inlineStr">
        <is>
          <t>REFUSE</t>
        </is>
      </c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</row>
    <row r="188" ht="15.75" customHeight="1" s="66">
      <c r="A188" s="22" t="n">
        <v>85</v>
      </c>
      <c r="B188" s="23" t="inlineStr">
        <is>
          <t>Adv RAG – Hybrid (BM25+Vector)</t>
        </is>
      </c>
      <c r="C188" s="24" t="inlineStr">
        <is>
          <t>Bank of America</t>
        </is>
      </c>
      <c r="D188" s="22" t="n"/>
      <c r="E188" s="22" t="n"/>
      <c r="F188" s="21" t="inlineStr">
        <is>
          <t>hallucination</t>
        </is>
      </c>
      <c r="G188" s="21" t="inlineStr">
        <is>
          <t>REFUSE</t>
        </is>
      </c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</row>
    <row r="189" ht="15.75" customHeight="1" s="66">
      <c r="A189" s="22" t="n">
        <v>86</v>
      </c>
      <c r="B189" s="23" t="inlineStr">
        <is>
          <t>Adv RAG – Hybrid (BM25+Vector)</t>
        </is>
      </c>
      <c r="C189" s="24" t="inlineStr">
        <is>
          <t>Bank of America</t>
        </is>
      </c>
      <c r="D189" s="22" t="n"/>
      <c r="E189" s="22" t="n"/>
      <c r="F189" s="21" t="inlineStr">
        <is>
          <t>hallucination</t>
        </is>
      </c>
      <c r="G189" s="21" t="inlineStr">
        <is>
          <t>REFUSE</t>
        </is>
      </c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</row>
    <row r="190" ht="15.75" customHeight="1" s="66">
      <c r="A190" s="22" t="n">
        <v>87</v>
      </c>
      <c r="B190" s="23" t="inlineStr">
        <is>
          <t>Adv RAG – Hybrid (BM25+Vector)</t>
        </is>
      </c>
      <c r="C190" s="24" t="inlineStr">
        <is>
          <t>Berkshire Hathaway</t>
        </is>
      </c>
      <c r="D190" s="22" t="n"/>
      <c r="E190" s="22" t="n"/>
      <c r="F190" s="21" t="inlineStr">
        <is>
          <t>hallucination</t>
        </is>
      </c>
      <c r="G190" s="21" t="inlineStr">
        <is>
          <t>REFUSE</t>
        </is>
      </c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</row>
    <row r="191" ht="15.75" customHeight="1" s="66">
      <c r="A191" s="22" t="n">
        <v>88</v>
      </c>
      <c r="B191" s="23" t="inlineStr">
        <is>
          <t>Adv RAG – Hybrid (BM25+Vector)</t>
        </is>
      </c>
      <c r="C191" s="24" t="inlineStr">
        <is>
          <t>Berkshire Hathaway</t>
        </is>
      </c>
      <c r="D191" s="22" t="n"/>
      <c r="E191" s="22" t="n"/>
      <c r="F191" s="21" t="inlineStr">
        <is>
          <t>hallucination</t>
        </is>
      </c>
      <c r="G191" s="21" t="inlineStr">
        <is>
          <t>REFUSE</t>
        </is>
      </c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</row>
    <row r="192" ht="15.75" customHeight="1" s="66">
      <c r="A192" s="22" t="n">
        <v>89</v>
      </c>
      <c r="B192" s="23" t="inlineStr">
        <is>
          <t>Adv RAG – Hybrid (BM25+Vector)</t>
        </is>
      </c>
      <c r="C192" s="24" t="inlineStr">
        <is>
          <t>Johnson &amp; Johnson</t>
        </is>
      </c>
      <c r="D192" s="22" t="n"/>
      <c r="E192" s="22" t="n"/>
      <c r="F192" s="21" t="inlineStr">
        <is>
          <t>hallucination</t>
        </is>
      </c>
      <c r="G192" s="21" t="inlineStr">
        <is>
          <t>REFUSE</t>
        </is>
      </c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</row>
    <row r="193" ht="15.75" customHeight="1" s="66">
      <c r="A193" s="22" t="n">
        <v>90</v>
      </c>
      <c r="B193" s="23" t="inlineStr">
        <is>
          <t>Adv RAG – Hybrid (BM25+Vector)</t>
        </is>
      </c>
      <c r="C193" s="24" t="inlineStr">
        <is>
          <t>Johnson &amp; Johnson</t>
        </is>
      </c>
      <c r="D193" s="22" t="n"/>
      <c r="E193" s="22" t="n"/>
      <c r="F193" s="21" t="inlineStr">
        <is>
          <t>hallucination</t>
        </is>
      </c>
      <c r="G193" s="21" t="inlineStr">
        <is>
          <t>REFUSE</t>
        </is>
      </c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</row>
    <row r="194" ht="15.75" customHeight="1" s="66">
      <c r="A194" s="22" t="n">
        <v>91</v>
      </c>
      <c r="B194" s="23" t="inlineStr">
        <is>
          <t>Adv RAG – Hybrid (BM25+Vector)</t>
        </is>
      </c>
      <c r="C194" s="24" t="inlineStr">
        <is>
          <t>UnitedHealth Group</t>
        </is>
      </c>
      <c r="D194" s="22" t="n"/>
      <c r="E194" s="22" t="n"/>
      <c r="F194" s="21" t="inlineStr">
        <is>
          <t>hallucination</t>
        </is>
      </c>
      <c r="G194" s="21" t="inlineStr">
        <is>
          <t>REFUSE</t>
        </is>
      </c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</row>
    <row r="195" ht="15.75" customHeight="1" s="66">
      <c r="A195" s="22" t="n">
        <v>92</v>
      </c>
      <c r="B195" s="23" t="inlineStr">
        <is>
          <t>Adv RAG – Hybrid (BM25+Vector)</t>
        </is>
      </c>
      <c r="C195" s="24" t="inlineStr">
        <is>
          <t>UnitedHealth Group</t>
        </is>
      </c>
      <c r="D195" s="22" t="n"/>
      <c r="E195" s="22" t="n"/>
      <c r="F195" s="21" t="inlineStr">
        <is>
          <t>hallucination</t>
        </is>
      </c>
      <c r="G195" s="21" t="inlineStr">
        <is>
          <t>REFUSE</t>
        </is>
      </c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</row>
    <row r="196" ht="15.75" customHeight="1" s="66">
      <c r="A196" s="22" t="n">
        <v>93</v>
      </c>
      <c r="B196" s="23" t="inlineStr">
        <is>
          <t>Adv RAG – Hybrid (BM25+Vector)</t>
        </is>
      </c>
      <c r="C196" s="24" t="inlineStr">
        <is>
          <t>Exxon Mobil</t>
        </is>
      </c>
      <c r="D196" s="22" t="n"/>
      <c r="E196" s="22" t="n"/>
      <c r="F196" s="21" t="inlineStr">
        <is>
          <t>hallucination</t>
        </is>
      </c>
      <c r="G196" s="21" t="inlineStr">
        <is>
          <t>REFUSE</t>
        </is>
      </c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</row>
    <row r="197" ht="15.75" customHeight="1" s="66">
      <c r="A197" s="22" t="n">
        <v>94</v>
      </c>
      <c r="B197" s="23" t="inlineStr">
        <is>
          <t>Adv RAG – Hybrid (BM25+Vector)</t>
        </is>
      </c>
      <c r="C197" s="24" t="inlineStr">
        <is>
          <t>Exxon Mobil</t>
        </is>
      </c>
      <c r="D197" s="22" t="n"/>
      <c r="E197" s="22" t="n"/>
      <c r="F197" s="21" t="inlineStr">
        <is>
          <t>hallucination</t>
        </is>
      </c>
      <c r="G197" s="21" t="inlineStr">
        <is>
          <t>REFUSE</t>
        </is>
      </c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</row>
    <row r="198" ht="15.75" customHeight="1" s="66">
      <c r="A198" s="22" t="n">
        <v>95</v>
      </c>
      <c r="B198" s="23" t="inlineStr">
        <is>
          <t>Adv RAG – Hybrid (BM25+Vector)</t>
        </is>
      </c>
      <c r="C198" s="24" t="inlineStr">
        <is>
          <t>Chevron</t>
        </is>
      </c>
      <c r="D198" s="22" t="n"/>
      <c r="E198" s="22" t="n"/>
      <c r="F198" s="21" t="inlineStr">
        <is>
          <t>hallucination</t>
        </is>
      </c>
      <c r="G198" s="21" t="inlineStr">
        <is>
          <t>REFUSE</t>
        </is>
      </c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</row>
    <row r="199" ht="15.75" customHeight="1" s="66">
      <c r="A199" s="22" t="n">
        <v>96</v>
      </c>
      <c r="B199" s="23" t="inlineStr">
        <is>
          <t>Adv RAG – Hybrid (BM25+Vector)</t>
        </is>
      </c>
      <c r="C199" s="24" t="inlineStr">
        <is>
          <t>Chevron</t>
        </is>
      </c>
      <c r="D199" s="22" t="n"/>
      <c r="E199" s="22" t="n"/>
      <c r="F199" s="21" t="inlineStr">
        <is>
          <t>hallucination</t>
        </is>
      </c>
      <c r="G199" s="21" t="inlineStr">
        <is>
          <t>REFUSE</t>
        </is>
      </c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</row>
    <row r="200" ht="15.75" customHeight="1" s="66">
      <c r="A200" s="22" t="n">
        <v>97</v>
      </c>
      <c r="B200" s="23" t="inlineStr">
        <is>
          <t>Adv RAG – Hybrid (BM25+Vector)</t>
        </is>
      </c>
      <c r="C200" s="24" t="inlineStr">
        <is>
          <t>Walmart</t>
        </is>
      </c>
      <c r="D200" s="22" t="n"/>
      <c r="E200" s="22" t="n"/>
      <c r="F200" s="21" t="inlineStr">
        <is>
          <t>hallucination</t>
        </is>
      </c>
      <c r="G200" s="21" t="inlineStr">
        <is>
          <t>REFUSE</t>
        </is>
      </c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</row>
    <row r="201" ht="15.75" customHeight="1" s="66">
      <c r="A201" s="22" t="n">
        <v>98</v>
      </c>
      <c r="B201" s="23" t="inlineStr">
        <is>
          <t>Adv RAG – Hybrid (BM25+Vector)</t>
        </is>
      </c>
      <c r="C201" s="24" t="inlineStr">
        <is>
          <t>Walmart</t>
        </is>
      </c>
      <c r="D201" s="22" t="n"/>
      <c r="E201" s="22" t="n"/>
      <c r="F201" s="21" t="inlineStr">
        <is>
          <t>hallucination</t>
        </is>
      </c>
      <c r="G201" s="21" t="inlineStr">
        <is>
          <t>REFUSE</t>
        </is>
      </c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</row>
    <row r="202" ht="15.75" customHeight="1" s="66">
      <c r="A202" s="22" t="n">
        <v>99</v>
      </c>
      <c r="B202" s="23" t="inlineStr">
        <is>
          <t>Adv RAG – Hybrid (BM25+Vector)</t>
        </is>
      </c>
      <c r="C202" s="24" t="inlineStr">
        <is>
          <t>Costco</t>
        </is>
      </c>
      <c r="D202" s="22" t="n"/>
      <c r="E202" s="22" t="n"/>
      <c r="F202" s="21" t="inlineStr">
        <is>
          <t>hallucination</t>
        </is>
      </c>
      <c r="G202" s="21" t="inlineStr">
        <is>
          <t>REFUSE</t>
        </is>
      </c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</row>
    <row r="203" ht="15.75" customHeight="1" s="66">
      <c r="A203" s="22" t="n">
        <v>100</v>
      </c>
      <c r="B203" s="23" t="inlineStr">
        <is>
          <t>Adv RAG – Hybrid (BM25+Vector)</t>
        </is>
      </c>
      <c r="C203" s="24" t="inlineStr">
        <is>
          <t>Costco</t>
        </is>
      </c>
      <c r="D203" s="22" t="n"/>
      <c r="E203" s="22" t="n"/>
      <c r="F203" s="21" t="inlineStr">
        <is>
          <t>hallucination</t>
        </is>
      </c>
      <c r="G203" s="21" t="inlineStr">
        <is>
          <t>REFUSE</t>
        </is>
      </c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</row>
    <row r="204" ht="15.75" customHeight="1" s="66">
      <c r="A204" s="25" t="n">
        <v>1</v>
      </c>
      <c r="B204" s="26" t="inlineStr">
        <is>
          <t>Adv RAG + LangGraph</t>
        </is>
      </c>
      <c r="C204" s="27" t="inlineStr">
        <is>
          <t>Apple</t>
        </is>
      </c>
      <c r="D204" s="25" t="inlineStr">
        <is>
          <t>10-K</t>
        </is>
      </c>
      <c r="E204" s="25" t="n">
        <v>2023</v>
      </c>
      <c r="F204" s="16" t="inlineStr">
        <is>
          <t>extractive</t>
        </is>
      </c>
      <c r="G204" s="17" t="inlineStr">
        <is>
          <t>ANSWER</t>
        </is>
      </c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</row>
    <row r="205" ht="15.75" customHeight="1" s="66">
      <c r="A205" s="25" t="n">
        <v>2</v>
      </c>
      <c r="B205" s="26" t="inlineStr">
        <is>
          <t>Adv RAG + LangGraph</t>
        </is>
      </c>
      <c r="C205" s="27" t="inlineStr">
        <is>
          <t>Apple</t>
        </is>
      </c>
      <c r="D205" s="25" t="inlineStr">
        <is>
          <t>10-Q</t>
        </is>
      </c>
      <c r="E205" s="25" t="n">
        <v>2025</v>
      </c>
      <c r="F205" s="16" t="inlineStr">
        <is>
          <t>extractive</t>
        </is>
      </c>
      <c r="G205" s="17" t="inlineStr">
        <is>
          <t>ANSWER</t>
        </is>
      </c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</row>
    <row r="206" ht="15.75" customHeight="1" s="66">
      <c r="A206" s="25" t="n">
        <v>3</v>
      </c>
      <c r="B206" s="26" t="inlineStr">
        <is>
          <t>Adv RAG + LangGraph</t>
        </is>
      </c>
      <c r="C206" s="27" t="inlineStr">
        <is>
          <t>Microsoft</t>
        </is>
      </c>
      <c r="D206" s="25" t="inlineStr">
        <is>
          <t>10-Q</t>
        </is>
      </c>
      <c r="E206" s="25" t="n">
        <v>2023</v>
      </c>
      <c r="F206" s="16" t="inlineStr">
        <is>
          <t>extractive</t>
        </is>
      </c>
      <c r="G206" s="17" t="inlineStr">
        <is>
          <t>ANSWER</t>
        </is>
      </c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</row>
    <row r="207" ht="15.75" customHeight="1" s="66">
      <c r="A207" s="25" t="n">
        <v>4</v>
      </c>
      <c r="B207" s="26" t="inlineStr">
        <is>
          <t>Adv RAG + LangGraph</t>
        </is>
      </c>
      <c r="C207" s="27" t="inlineStr">
        <is>
          <t>Microsoft</t>
        </is>
      </c>
      <c r="D207" s="25" t="inlineStr">
        <is>
          <t>10-K</t>
        </is>
      </c>
      <c r="E207" s="25" t="n">
        <v>2023</v>
      </c>
      <c r="F207" s="16" t="inlineStr">
        <is>
          <t>extractive</t>
        </is>
      </c>
      <c r="G207" s="17" t="inlineStr">
        <is>
          <t>ANSWER</t>
        </is>
      </c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</row>
    <row r="208" ht="15.75" customHeight="1" s="66">
      <c r="A208" s="25" t="n">
        <v>5</v>
      </c>
      <c r="B208" s="26" t="inlineStr">
        <is>
          <t>Adv RAG + LangGraph</t>
        </is>
      </c>
      <c r="C208" s="27" t="inlineStr">
        <is>
          <t>NVIDIA</t>
        </is>
      </c>
      <c r="D208" s="25" t="inlineStr">
        <is>
          <t>10-K</t>
        </is>
      </c>
      <c r="E208" s="25" t="n">
        <v>2025</v>
      </c>
      <c r="F208" s="16" t="inlineStr">
        <is>
          <t>extractive</t>
        </is>
      </c>
      <c r="G208" s="17" t="inlineStr">
        <is>
          <t>ANSWER</t>
        </is>
      </c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</row>
    <row r="209" ht="15.75" customHeight="1" s="66">
      <c r="A209" s="25" t="n">
        <v>6</v>
      </c>
      <c r="B209" s="26" t="inlineStr">
        <is>
          <t>Adv RAG + LangGraph</t>
        </is>
      </c>
      <c r="C209" s="27" t="inlineStr">
        <is>
          <t>NVIDIA</t>
        </is>
      </c>
      <c r="D209" s="25" t="inlineStr">
        <is>
          <t>10-K</t>
        </is>
      </c>
      <c r="E209" s="25" t="n">
        <v>2024</v>
      </c>
      <c r="F209" s="16" t="inlineStr">
        <is>
          <t>extractive</t>
        </is>
      </c>
      <c r="G209" s="17" t="inlineStr">
        <is>
          <t>ANSWER</t>
        </is>
      </c>
      <c r="H209" s="18" t="n">
        <v>0</v>
      </c>
      <c r="I209" s="18" t="n">
        <v>0</v>
      </c>
      <c r="J209" s="18" t="n">
        <v>0.2</v>
      </c>
      <c r="K209" s="18" t="n">
        <v>0</v>
      </c>
      <c r="L209" s="18" t="n">
        <v>1</v>
      </c>
      <c r="M209" s="18" t="n">
        <v>1</v>
      </c>
      <c r="N209" s="18" t="n">
        <v>0.5925925925925926</v>
      </c>
      <c r="O209" s="18" t="n">
        <v>0.6666666666666666</v>
      </c>
      <c r="P209" s="18" t="n">
        <v>0.5333333333333333</v>
      </c>
      <c r="Q209" s="18" t="n">
        <v>1</v>
      </c>
      <c r="R209" s="18" t="n">
        <v>1</v>
      </c>
    </row>
    <row r="210" ht="15.75" customHeight="1" s="66">
      <c r="A210" s="25" t="n">
        <v>7</v>
      </c>
      <c r="B210" s="26" t="inlineStr">
        <is>
          <t>Adv RAG + LangGraph</t>
        </is>
      </c>
      <c r="C210" s="27" t="inlineStr">
        <is>
          <t>NVIDIA</t>
        </is>
      </c>
      <c r="D210" s="25" t="inlineStr">
        <is>
          <t>10-K</t>
        </is>
      </c>
      <c r="E210" s="25" t="n">
        <v>2025</v>
      </c>
      <c r="F210" s="16" t="inlineStr">
        <is>
          <t>extractive</t>
        </is>
      </c>
      <c r="G210" s="17" t="inlineStr">
        <is>
          <t>ANSWER</t>
        </is>
      </c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</row>
    <row r="211" ht="15.75" customHeight="1" s="66">
      <c r="A211" s="25" t="n">
        <v>8</v>
      </c>
      <c r="B211" s="26" t="inlineStr">
        <is>
          <t>Adv RAG + LangGraph</t>
        </is>
      </c>
      <c r="C211" s="27" t="inlineStr">
        <is>
          <t>JPMorgan Chase</t>
        </is>
      </c>
      <c r="D211" s="25" t="inlineStr">
        <is>
          <t>10-K</t>
        </is>
      </c>
      <c r="E211" s="25" t="n">
        <v>2023</v>
      </c>
      <c r="F211" s="16" t="inlineStr">
        <is>
          <t>extractive</t>
        </is>
      </c>
      <c r="G211" s="17" t="inlineStr">
        <is>
          <t>ANSWER</t>
        </is>
      </c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</row>
    <row r="212" ht="15.75" customHeight="1" s="66">
      <c r="A212" s="25" t="n">
        <v>9</v>
      </c>
      <c r="B212" s="26" t="inlineStr">
        <is>
          <t>Adv RAG + LangGraph</t>
        </is>
      </c>
      <c r="C212" s="27" t="inlineStr">
        <is>
          <t>JPMorgan Chase</t>
        </is>
      </c>
      <c r="D212" s="25" t="inlineStr">
        <is>
          <t>10-K</t>
        </is>
      </c>
      <c r="E212" s="25" t="n">
        <v>2024</v>
      </c>
      <c r="F212" s="16" t="inlineStr">
        <is>
          <t>extractive</t>
        </is>
      </c>
      <c r="G212" s="17" t="inlineStr">
        <is>
          <t>ANSWER</t>
        </is>
      </c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</row>
    <row r="213" ht="15.75" customHeight="1" s="66">
      <c r="A213" s="25" t="n">
        <v>10</v>
      </c>
      <c r="B213" s="26" t="inlineStr">
        <is>
          <t>Adv RAG + LangGraph</t>
        </is>
      </c>
      <c r="C213" s="27" t="inlineStr">
        <is>
          <t>Bank of America</t>
        </is>
      </c>
      <c r="D213" s="25" t="inlineStr">
        <is>
          <t>10-Q</t>
        </is>
      </c>
      <c r="E213" s="25" t="n">
        <v>2025</v>
      </c>
      <c r="F213" s="16" t="inlineStr">
        <is>
          <t>extractive</t>
        </is>
      </c>
      <c r="G213" s="17" t="inlineStr">
        <is>
          <t>ANSWER</t>
        </is>
      </c>
      <c r="H213" s="18" t="n">
        <v>0</v>
      </c>
      <c r="I213" s="18" t="n">
        <v>0</v>
      </c>
      <c r="J213" s="18" t="n">
        <v>0.6</v>
      </c>
      <c r="K213" s="18" t="n">
        <v>1</v>
      </c>
      <c r="L213" s="18" t="n">
        <v>0</v>
      </c>
      <c r="M213" s="18" t="n">
        <v>0</v>
      </c>
      <c r="N213" s="18" t="n">
        <v>0.2040816326530612</v>
      </c>
      <c r="O213" s="18" t="n">
        <v>0.1219512195121951</v>
      </c>
      <c r="P213" s="18" t="n">
        <v>0.625</v>
      </c>
      <c r="Q213" s="18" t="n">
        <v>0</v>
      </c>
      <c r="R213" s="18" t="n">
        <v>0</v>
      </c>
    </row>
    <row r="214" ht="15.75" customHeight="1" s="66">
      <c r="A214" s="25" t="n">
        <v>11</v>
      </c>
      <c r="B214" s="26" t="inlineStr">
        <is>
          <t>Adv RAG + LangGraph</t>
        </is>
      </c>
      <c r="C214" s="27" t="inlineStr">
        <is>
          <t>Bank of America</t>
        </is>
      </c>
      <c r="D214" s="25" t="inlineStr">
        <is>
          <t>10-K</t>
        </is>
      </c>
      <c r="E214" s="25" t="n">
        <v>2024</v>
      </c>
      <c r="F214" s="16" t="inlineStr">
        <is>
          <t>extractive</t>
        </is>
      </c>
      <c r="G214" s="17" t="inlineStr">
        <is>
          <t>ANSWER</t>
        </is>
      </c>
      <c r="H214" s="18" t="n">
        <v>0</v>
      </c>
      <c r="I214" s="18" t="n">
        <v>0</v>
      </c>
      <c r="J214" s="18" t="n">
        <v>0</v>
      </c>
      <c r="K214" s="18" t="n">
        <v>1</v>
      </c>
      <c r="L214" s="18" t="n">
        <v>0</v>
      </c>
      <c r="M214" s="18" t="n">
        <v>0</v>
      </c>
      <c r="N214" s="18" t="n">
        <v>0.09836065573770492</v>
      </c>
      <c r="O214" s="18" t="n">
        <v>0.1764705882352941</v>
      </c>
      <c r="P214" s="18" t="n">
        <v>0.06818181818181818</v>
      </c>
      <c r="Q214" s="18" t="n">
        <v>0</v>
      </c>
      <c r="R214" s="18" t="n">
        <v>0</v>
      </c>
    </row>
    <row r="215" ht="15.75" customHeight="1" s="66">
      <c r="A215" s="25" t="n">
        <v>12</v>
      </c>
      <c r="B215" s="26" t="inlineStr">
        <is>
          <t>Adv RAG + LangGraph</t>
        </is>
      </c>
      <c r="C215" s="27" t="inlineStr">
        <is>
          <t>Berkshire Hathaway</t>
        </is>
      </c>
      <c r="D215" s="25" t="inlineStr">
        <is>
          <t>10-K</t>
        </is>
      </c>
      <c r="E215" s="25" t="n">
        <v>2025</v>
      </c>
      <c r="F215" s="16" t="inlineStr">
        <is>
          <t>extractive</t>
        </is>
      </c>
      <c r="G215" s="17" t="inlineStr">
        <is>
          <t>ANSWER</t>
        </is>
      </c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</row>
    <row r="216" ht="15.75" customHeight="1" s="66">
      <c r="A216" s="25" t="n">
        <v>13</v>
      </c>
      <c r="B216" s="26" t="inlineStr">
        <is>
          <t>Adv RAG + LangGraph</t>
        </is>
      </c>
      <c r="C216" s="27" t="inlineStr">
        <is>
          <t>Berkshire Hathaway</t>
        </is>
      </c>
      <c r="D216" s="25" t="inlineStr">
        <is>
          <t>10-Q</t>
        </is>
      </c>
      <c r="E216" s="25" t="n">
        <v>2023</v>
      </c>
      <c r="F216" s="16" t="inlineStr">
        <is>
          <t>extractive</t>
        </is>
      </c>
      <c r="G216" s="17" t="inlineStr">
        <is>
          <t>ANSWER</t>
        </is>
      </c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</row>
    <row r="217" ht="15.75" customHeight="1" s="66">
      <c r="A217" s="25" t="n">
        <v>14</v>
      </c>
      <c r="B217" s="26" t="inlineStr">
        <is>
          <t>Adv RAG + LangGraph</t>
        </is>
      </c>
      <c r="C217" s="27" t="inlineStr">
        <is>
          <t>Johnson &amp; Johnson</t>
        </is>
      </c>
      <c r="D217" s="25" t="inlineStr">
        <is>
          <t>10-Q</t>
        </is>
      </c>
      <c r="E217" s="25" t="n">
        <v>2025</v>
      </c>
      <c r="F217" s="16" t="inlineStr">
        <is>
          <t>extractive</t>
        </is>
      </c>
      <c r="G217" s="17" t="inlineStr">
        <is>
          <t>ANSWER</t>
        </is>
      </c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</row>
    <row r="218" ht="15.75" customHeight="1" s="66">
      <c r="A218" s="25" t="n">
        <v>15</v>
      </c>
      <c r="B218" s="26" t="inlineStr">
        <is>
          <t>Adv RAG + LangGraph</t>
        </is>
      </c>
      <c r="C218" s="27" t="inlineStr">
        <is>
          <t>Johnson &amp; Johnson</t>
        </is>
      </c>
      <c r="D218" s="25" t="inlineStr">
        <is>
          <t>10-K</t>
        </is>
      </c>
      <c r="E218" s="25" t="n">
        <v>2025</v>
      </c>
      <c r="F218" s="16" t="inlineStr">
        <is>
          <t>extractive</t>
        </is>
      </c>
      <c r="G218" s="17" t="inlineStr">
        <is>
          <t>ANSWER</t>
        </is>
      </c>
      <c r="H218" s="18" t="n">
        <v>0</v>
      </c>
      <c r="I218" s="18" t="n">
        <v>0</v>
      </c>
      <c r="J218" s="18" t="n">
        <v>0</v>
      </c>
      <c r="K218" s="18" t="n">
        <v>0</v>
      </c>
      <c r="L218" s="18" t="n">
        <v>0</v>
      </c>
      <c r="M218" s="18" t="n">
        <v>1</v>
      </c>
      <c r="N218" s="18" t="n">
        <v>0.2553191489361701</v>
      </c>
      <c r="O218" s="18" t="n">
        <v>0.1935483870967742</v>
      </c>
      <c r="P218" s="18" t="n">
        <v>0.375</v>
      </c>
      <c r="Q218" s="18" t="n">
        <v>1</v>
      </c>
      <c r="R218" s="18" t="n">
        <v>0</v>
      </c>
    </row>
    <row r="219" ht="15.75" customHeight="1" s="66">
      <c r="A219" s="25" t="n">
        <v>16</v>
      </c>
      <c r="B219" s="26" t="inlineStr">
        <is>
          <t>Adv RAG + LangGraph</t>
        </is>
      </c>
      <c r="C219" s="27" t="inlineStr">
        <is>
          <t>UnitedHealth Group</t>
        </is>
      </c>
      <c r="D219" s="25" t="inlineStr">
        <is>
          <t>10-Q</t>
        </is>
      </c>
      <c r="E219" s="25" t="n">
        <v>2024</v>
      </c>
      <c r="F219" s="16" t="inlineStr">
        <is>
          <t>extractive</t>
        </is>
      </c>
      <c r="G219" s="17" t="inlineStr">
        <is>
          <t>ANSWER</t>
        </is>
      </c>
      <c r="H219" s="18" t="n">
        <v>0</v>
      </c>
      <c r="I219" s="18" t="n">
        <v>0</v>
      </c>
      <c r="J219" s="18" t="n">
        <v>0.8</v>
      </c>
      <c r="K219" s="18" t="n">
        <v>1</v>
      </c>
      <c r="L219" s="18" t="n">
        <v>0</v>
      </c>
      <c r="M219" s="18" t="n">
        <v>0</v>
      </c>
      <c r="N219" s="18" t="n">
        <v>0.3050847457627118</v>
      </c>
      <c r="O219" s="18" t="n">
        <v>0.2093023255813954</v>
      </c>
      <c r="P219" s="18" t="n">
        <v>0.5625</v>
      </c>
      <c r="Q219" s="18" t="n">
        <v>0</v>
      </c>
      <c r="R219" s="18" t="n">
        <v>0</v>
      </c>
    </row>
    <row r="220" ht="15.75" customHeight="1" s="66">
      <c r="A220" s="25" t="n">
        <v>17</v>
      </c>
      <c r="B220" s="26" t="inlineStr">
        <is>
          <t>Adv RAG + LangGraph</t>
        </is>
      </c>
      <c r="C220" s="27" t="inlineStr">
        <is>
          <t>UnitedHealth Group</t>
        </is>
      </c>
      <c r="D220" s="25" t="inlineStr">
        <is>
          <t>10-K</t>
        </is>
      </c>
      <c r="E220" s="25" t="n">
        <v>2023</v>
      </c>
      <c r="F220" s="16" t="inlineStr">
        <is>
          <t>extractive</t>
        </is>
      </c>
      <c r="G220" s="17" t="inlineStr">
        <is>
          <t>ANSWER</t>
        </is>
      </c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</row>
    <row r="221" ht="15.75" customHeight="1" s="66">
      <c r="A221" s="25" t="n">
        <v>18</v>
      </c>
      <c r="B221" s="26" t="inlineStr">
        <is>
          <t>Adv RAG + LangGraph</t>
        </is>
      </c>
      <c r="C221" s="27" t="inlineStr">
        <is>
          <t>Exxon Mobil</t>
        </is>
      </c>
      <c r="D221" s="25" t="inlineStr">
        <is>
          <t>10-K</t>
        </is>
      </c>
      <c r="E221" s="25" t="n">
        <v>2023</v>
      </c>
      <c r="F221" s="16" t="inlineStr">
        <is>
          <t>extractive</t>
        </is>
      </c>
      <c r="G221" s="17" t="inlineStr">
        <is>
          <t>ANSWER</t>
        </is>
      </c>
      <c r="H221" s="18" t="n">
        <v>0</v>
      </c>
      <c r="I221" s="18" t="n">
        <v>0</v>
      </c>
      <c r="J221" s="18" t="n">
        <v>0.4</v>
      </c>
      <c r="K221" s="18" t="n">
        <v>1</v>
      </c>
      <c r="L221" s="18" t="n">
        <v>0</v>
      </c>
      <c r="M221" s="18" t="n">
        <v>0</v>
      </c>
      <c r="N221" s="18" t="n">
        <v>0.1866666666666666</v>
      </c>
      <c r="O221" s="18" t="n">
        <v>0.1076923076923077</v>
      </c>
      <c r="P221" s="18" t="n">
        <v>0.7</v>
      </c>
      <c r="Q221" s="18" t="n">
        <v>0</v>
      </c>
      <c r="R221" s="18" t="n">
        <v>0</v>
      </c>
    </row>
    <row r="222" ht="15.75" customHeight="1" s="66">
      <c r="A222" s="25" t="n">
        <v>19</v>
      </c>
      <c r="B222" s="26" t="inlineStr">
        <is>
          <t>Adv RAG + LangGraph</t>
        </is>
      </c>
      <c r="C222" s="27" t="inlineStr">
        <is>
          <t>Exxon Mobil</t>
        </is>
      </c>
      <c r="D222" s="25" t="inlineStr">
        <is>
          <t>10-Q</t>
        </is>
      </c>
      <c r="E222" s="25" t="n">
        <v>2025</v>
      </c>
      <c r="F222" s="16" t="inlineStr">
        <is>
          <t>extractive</t>
        </is>
      </c>
      <c r="G222" s="17" t="inlineStr">
        <is>
          <t>ANSWER</t>
        </is>
      </c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</row>
    <row r="223" ht="15.75" customHeight="1" s="66">
      <c r="A223" s="25" t="n">
        <v>20</v>
      </c>
      <c r="B223" s="26" t="inlineStr">
        <is>
          <t>Adv RAG + LangGraph</t>
        </is>
      </c>
      <c r="C223" s="27" t="inlineStr">
        <is>
          <t>Chevron</t>
        </is>
      </c>
      <c r="D223" s="25" t="inlineStr">
        <is>
          <t>10-Q</t>
        </is>
      </c>
      <c r="E223" s="25" t="n">
        <v>2024</v>
      </c>
      <c r="F223" s="16" t="inlineStr">
        <is>
          <t>extractive</t>
        </is>
      </c>
      <c r="G223" s="17" t="inlineStr">
        <is>
          <t>ANSWER</t>
        </is>
      </c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</row>
    <row r="224" ht="15.75" customHeight="1" s="66">
      <c r="A224" s="25" t="n">
        <v>21</v>
      </c>
      <c r="B224" s="26" t="inlineStr">
        <is>
          <t>Adv RAG + LangGraph</t>
        </is>
      </c>
      <c r="C224" s="27" t="inlineStr">
        <is>
          <t>Chevron</t>
        </is>
      </c>
      <c r="D224" s="25" t="inlineStr">
        <is>
          <t>10-K</t>
        </is>
      </c>
      <c r="E224" s="25" t="n">
        <v>2025</v>
      </c>
      <c r="F224" s="16" t="inlineStr">
        <is>
          <t>extractive</t>
        </is>
      </c>
      <c r="G224" s="17" t="inlineStr">
        <is>
          <t>ANSWER</t>
        </is>
      </c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</row>
    <row r="225" ht="15.75" customHeight="1" s="66">
      <c r="A225" s="25" t="n">
        <v>22</v>
      </c>
      <c r="B225" s="26" t="inlineStr">
        <is>
          <t>Adv RAG + LangGraph</t>
        </is>
      </c>
      <c r="C225" s="27" t="inlineStr">
        <is>
          <t>Walmart</t>
        </is>
      </c>
      <c r="D225" s="25" t="inlineStr">
        <is>
          <t>10-Q</t>
        </is>
      </c>
      <c r="E225" s="25" t="n">
        <v>2023</v>
      </c>
      <c r="F225" s="16" t="inlineStr">
        <is>
          <t>extractive</t>
        </is>
      </c>
      <c r="G225" s="17" t="inlineStr">
        <is>
          <t>ANSWER</t>
        </is>
      </c>
      <c r="H225" s="18" t="n">
        <v>0.2</v>
      </c>
      <c r="I225" s="18" t="n">
        <v>1</v>
      </c>
      <c r="J225" s="18" t="n">
        <v>0</v>
      </c>
      <c r="K225" s="18" t="n">
        <v>1</v>
      </c>
      <c r="L225" s="18" t="n">
        <v>1</v>
      </c>
      <c r="M225" s="18" t="n">
        <v>0</v>
      </c>
      <c r="N225" s="18" t="n">
        <v>0.6818181818181818</v>
      </c>
      <c r="O225" s="18" t="n">
        <v>0.5769230769230769</v>
      </c>
      <c r="P225" s="18" t="n">
        <v>0.8333333333333334</v>
      </c>
      <c r="Q225" s="18" t="n">
        <v>1</v>
      </c>
      <c r="R225" s="18" t="n">
        <v>1</v>
      </c>
    </row>
    <row r="226" ht="15.75" customHeight="1" s="66">
      <c r="A226" s="25" t="n">
        <v>23</v>
      </c>
      <c r="B226" s="26" t="inlineStr">
        <is>
          <t>Adv RAG + LangGraph</t>
        </is>
      </c>
      <c r="C226" s="27" t="inlineStr">
        <is>
          <t>Walmart</t>
        </is>
      </c>
      <c r="D226" s="25" t="inlineStr">
        <is>
          <t>10-K</t>
        </is>
      </c>
      <c r="E226" s="25" t="n">
        <v>2024</v>
      </c>
      <c r="F226" s="16" t="inlineStr">
        <is>
          <t>extractive</t>
        </is>
      </c>
      <c r="G226" s="17" t="inlineStr">
        <is>
          <t>ANSWER</t>
        </is>
      </c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</row>
    <row r="227" ht="15.75" customHeight="1" s="66">
      <c r="A227" s="25" t="n">
        <v>24</v>
      </c>
      <c r="B227" s="26" t="inlineStr">
        <is>
          <t>Adv RAG + LangGraph</t>
        </is>
      </c>
      <c r="C227" s="27" t="inlineStr">
        <is>
          <t>Costco</t>
        </is>
      </c>
      <c r="D227" s="25" t="inlineStr">
        <is>
          <t>10-K</t>
        </is>
      </c>
      <c r="E227" s="25" t="n">
        <v>2025</v>
      </c>
      <c r="F227" s="16" t="inlineStr">
        <is>
          <t>extractive</t>
        </is>
      </c>
      <c r="G227" s="17" t="inlineStr">
        <is>
          <t>ANSWER</t>
        </is>
      </c>
      <c r="H227" s="18" t="n">
        <v>0</v>
      </c>
      <c r="I227" s="18" t="n">
        <v>0</v>
      </c>
      <c r="J227" s="18" t="n">
        <v>0.2</v>
      </c>
      <c r="K227" s="18" t="n">
        <v>1</v>
      </c>
      <c r="L227" s="18" t="n">
        <v>0</v>
      </c>
      <c r="M227" s="18" t="n">
        <v>0</v>
      </c>
      <c r="N227" s="18" t="n">
        <v>0.0396694214876033</v>
      </c>
      <c r="O227" s="18" t="n">
        <v>0.02023608768971332</v>
      </c>
      <c r="P227" s="18" t="n">
        <v>1</v>
      </c>
      <c r="Q227" s="18" t="n">
        <v>1</v>
      </c>
      <c r="R227" s="18" t="n">
        <v>0</v>
      </c>
    </row>
    <row r="228" ht="15.75" customHeight="1" s="66">
      <c r="A228" s="25" t="n">
        <v>25</v>
      </c>
      <c r="B228" s="26" t="inlineStr">
        <is>
          <t>Adv RAG + LangGraph</t>
        </is>
      </c>
      <c r="C228" s="27" t="inlineStr">
        <is>
          <t>Costco</t>
        </is>
      </c>
      <c r="D228" s="25" t="inlineStr">
        <is>
          <t>10-Q</t>
        </is>
      </c>
      <c r="E228" s="25" t="n">
        <v>2023</v>
      </c>
      <c r="F228" s="16" t="inlineStr">
        <is>
          <t>extractive</t>
        </is>
      </c>
      <c r="G228" s="17" t="inlineStr">
        <is>
          <t>ANSWER</t>
        </is>
      </c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</row>
    <row r="229" ht="15.75" customHeight="1" s="66">
      <c r="A229" s="25" t="n">
        <v>26</v>
      </c>
      <c r="B229" s="26" t="inlineStr">
        <is>
          <t>Adv RAG + LangGraph</t>
        </is>
      </c>
      <c r="C229" s="27" t="inlineStr">
        <is>
          <t>Apple</t>
        </is>
      </c>
      <c r="D229" s="25" t="inlineStr">
        <is>
          <t>10-K</t>
        </is>
      </c>
      <c r="E229" s="25" t="n">
        <v>2023</v>
      </c>
      <c r="F229" s="19" t="inlineStr">
        <is>
          <t>paraphrased</t>
        </is>
      </c>
      <c r="G229" s="17" t="inlineStr">
        <is>
          <t>ANSWER</t>
        </is>
      </c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</row>
    <row r="230" ht="15.75" customHeight="1" s="66">
      <c r="A230" s="25" t="n">
        <v>27</v>
      </c>
      <c r="B230" s="26" t="inlineStr">
        <is>
          <t>Adv RAG + LangGraph</t>
        </is>
      </c>
      <c r="C230" s="27" t="inlineStr">
        <is>
          <t>Apple</t>
        </is>
      </c>
      <c r="D230" s="25" t="inlineStr">
        <is>
          <t>10-Q</t>
        </is>
      </c>
      <c r="E230" s="25" t="n">
        <v>2025</v>
      </c>
      <c r="F230" s="19" t="inlineStr">
        <is>
          <t>paraphrased</t>
        </is>
      </c>
      <c r="G230" s="17" t="inlineStr">
        <is>
          <t>ANSWER</t>
        </is>
      </c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</row>
    <row r="231" ht="15.75" customHeight="1" s="66">
      <c r="A231" s="25" t="n">
        <v>28</v>
      </c>
      <c r="B231" s="26" t="inlineStr">
        <is>
          <t>Adv RAG + LangGraph</t>
        </is>
      </c>
      <c r="C231" s="27" t="inlineStr">
        <is>
          <t>Microsoft</t>
        </is>
      </c>
      <c r="D231" s="25" t="inlineStr">
        <is>
          <t>10-Q</t>
        </is>
      </c>
      <c r="E231" s="25" t="n">
        <v>2023</v>
      </c>
      <c r="F231" s="19" t="inlineStr">
        <is>
          <t>paraphrased</t>
        </is>
      </c>
      <c r="G231" s="17" t="inlineStr">
        <is>
          <t>ANSWER</t>
        </is>
      </c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</row>
    <row r="232" ht="15.75" customHeight="1" s="66">
      <c r="A232" s="25" t="n">
        <v>29</v>
      </c>
      <c r="B232" s="26" t="inlineStr">
        <is>
          <t>Adv RAG + LangGraph</t>
        </is>
      </c>
      <c r="C232" s="27" t="inlineStr">
        <is>
          <t>Microsoft</t>
        </is>
      </c>
      <c r="D232" s="25" t="inlineStr">
        <is>
          <t>10-K</t>
        </is>
      </c>
      <c r="E232" s="25" t="n">
        <v>2023</v>
      </c>
      <c r="F232" s="19" t="inlineStr">
        <is>
          <t>paraphrased</t>
        </is>
      </c>
      <c r="G232" s="17" t="inlineStr">
        <is>
          <t>ANSWER</t>
        </is>
      </c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</row>
    <row r="233" ht="15.75" customHeight="1" s="66">
      <c r="A233" s="25" t="n">
        <v>30</v>
      </c>
      <c r="B233" s="26" t="inlineStr">
        <is>
          <t>Adv RAG + LangGraph</t>
        </is>
      </c>
      <c r="C233" s="27" t="inlineStr">
        <is>
          <t>NVIDIA</t>
        </is>
      </c>
      <c r="D233" s="25" t="inlineStr">
        <is>
          <t>10-K</t>
        </is>
      </c>
      <c r="E233" s="25" t="n">
        <v>2025</v>
      </c>
      <c r="F233" s="19" t="inlineStr">
        <is>
          <t>paraphrased</t>
        </is>
      </c>
      <c r="G233" s="17" t="inlineStr">
        <is>
          <t>ANSWER</t>
        </is>
      </c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</row>
    <row r="234" ht="15.75" customHeight="1" s="66">
      <c r="A234" s="25" t="n">
        <v>31</v>
      </c>
      <c r="B234" s="26" t="inlineStr">
        <is>
          <t>Adv RAG + LangGraph</t>
        </is>
      </c>
      <c r="C234" s="27" t="inlineStr">
        <is>
          <t>NVIDIA</t>
        </is>
      </c>
      <c r="D234" s="25" t="inlineStr">
        <is>
          <t>10-K</t>
        </is>
      </c>
      <c r="E234" s="25" t="n">
        <v>2024</v>
      </c>
      <c r="F234" s="19" t="inlineStr">
        <is>
          <t>paraphrased</t>
        </is>
      </c>
      <c r="G234" s="17" t="inlineStr">
        <is>
          <t>ANSWER</t>
        </is>
      </c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</row>
    <row r="235" ht="15.75" customHeight="1" s="66">
      <c r="A235" s="25" t="n">
        <v>32</v>
      </c>
      <c r="B235" s="26" t="inlineStr">
        <is>
          <t>Adv RAG + LangGraph</t>
        </is>
      </c>
      <c r="C235" s="27" t="inlineStr">
        <is>
          <t>NVIDIA</t>
        </is>
      </c>
      <c r="D235" s="25" t="inlineStr">
        <is>
          <t>10-K</t>
        </is>
      </c>
      <c r="E235" s="25" t="n">
        <v>2025</v>
      </c>
      <c r="F235" s="19" t="inlineStr">
        <is>
          <t>paraphrased</t>
        </is>
      </c>
      <c r="G235" s="17" t="inlineStr">
        <is>
          <t>ANSWER</t>
        </is>
      </c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</row>
    <row r="236" ht="15.75" customHeight="1" s="66">
      <c r="A236" s="25" t="n">
        <v>33</v>
      </c>
      <c r="B236" s="26" t="inlineStr">
        <is>
          <t>Adv RAG + LangGraph</t>
        </is>
      </c>
      <c r="C236" s="27" t="inlineStr">
        <is>
          <t>JPMorgan Chase</t>
        </is>
      </c>
      <c r="D236" s="25" t="inlineStr">
        <is>
          <t>10-K</t>
        </is>
      </c>
      <c r="E236" s="25" t="n">
        <v>2023</v>
      </c>
      <c r="F236" s="19" t="inlineStr">
        <is>
          <t>paraphrased</t>
        </is>
      </c>
      <c r="G236" s="17" t="inlineStr">
        <is>
          <t>ANSWER</t>
        </is>
      </c>
      <c r="H236" s="18" t="n">
        <v>0</v>
      </c>
      <c r="I236" s="18" t="n">
        <v>0</v>
      </c>
      <c r="J236" s="18" t="n">
        <v>0.4</v>
      </c>
      <c r="K236" s="18" t="n">
        <v>1</v>
      </c>
      <c r="L236" s="18" t="n">
        <v>1</v>
      </c>
      <c r="M236" s="18" t="n">
        <v>0</v>
      </c>
      <c r="N236" s="18" t="n">
        <v>0.0704225352112676</v>
      </c>
      <c r="O236" s="18" t="n">
        <v>0.03712871287128713</v>
      </c>
      <c r="P236" s="18" t="n">
        <v>0.6818181818181818</v>
      </c>
      <c r="Q236" s="18" t="n">
        <v>1</v>
      </c>
      <c r="R236" s="18" t="n">
        <v>1</v>
      </c>
    </row>
    <row r="237" ht="15.75" customHeight="1" s="66">
      <c r="A237" s="25" t="n">
        <v>34</v>
      </c>
      <c r="B237" s="26" t="inlineStr">
        <is>
          <t>Adv RAG + LangGraph</t>
        </is>
      </c>
      <c r="C237" s="27" t="inlineStr">
        <is>
          <t>JPMorgan Chase</t>
        </is>
      </c>
      <c r="D237" s="25" t="inlineStr">
        <is>
          <t>10-K</t>
        </is>
      </c>
      <c r="E237" s="25" t="n">
        <v>2024</v>
      </c>
      <c r="F237" s="19" t="inlineStr">
        <is>
          <t>paraphrased</t>
        </is>
      </c>
      <c r="G237" s="17" t="inlineStr">
        <is>
          <t>ANSWER</t>
        </is>
      </c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</row>
    <row r="238" ht="15.75" customHeight="1" s="66">
      <c r="A238" s="25" t="n">
        <v>35</v>
      </c>
      <c r="B238" s="26" t="inlineStr">
        <is>
          <t>Adv RAG + LangGraph</t>
        </is>
      </c>
      <c r="C238" s="27" t="inlineStr">
        <is>
          <t>Bank of America</t>
        </is>
      </c>
      <c r="D238" s="25" t="inlineStr">
        <is>
          <t>10-Q</t>
        </is>
      </c>
      <c r="E238" s="25" t="n">
        <v>2025</v>
      </c>
      <c r="F238" s="19" t="inlineStr">
        <is>
          <t>paraphrased</t>
        </is>
      </c>
      <c r="G238" s="17" t="inlineStr">
        <is>
          <t>ANSWER</t>
        </is>
      </c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</row>
    <row r="239" ht="15.75" customHeight="1" s="66">
      <c r="A239" s="25" t="n">
        <v>36</v>
      </c>
      <c r="B239" s="26" t="inlineStr">
        <is>
          <t>Adv RAG + LangGraph</t>
        </is>
      </c>
      <c r="C239" s="27" t="inlineStr">
        <is>
          <t>Bank of America</t>
        </is>
      </c>
      <c r="D239" s="25" t="inlineStr">
        <is>
          <t>10-K</t>
        </is>
      </c>
      <c r="E239" s="25" t="n">
        <v>2024</v>
      </c>
      <c r="F239" s="19" t="inlineStr">
        <is>
          <t>paraphrased</t>
        </is>
      </c>
      <c r="G239" s="17" t="inlineStr">
        <is>
          <t>ANSWER</t>
        </is>
      </c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</row>
    <row r="240" ht="15.75" customHeight="1" s="66">
      <c r="A240" s="25" t="n">
        <v>37</v>
      </c>
      <c r="B240" s="26" t="inlineStr">
        <is>
          <t>Adv RAG + LangGraph</t>
        </is>
      </c>
      <c r="C240" s="27" t="inlineStr">
        <is>
          <t>Berkshire Hathaway</t>
        </is>
      </c>
      <c r="D240" s="25" t="inlineStr">
        <is>
          <t>10-K</t>
        </is>
      </c>
      <c r="E240" s="25" t="n">
        <v>2025</v>
      </c>
      <c r="F240" s="19" t="inlineStr">
        <is>
          <t>paraphrased</t>
        </is>
      </c>
      <c r="G240" s="17" t="inlineStr">
        <is>
          <t>ANSWER</t>
        </is>
      </c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</row>
    <row r="241" ht="15.75" customHeight="1" s="66">
      <c r="A241" s="25" t="n">
        <v>38</v>
      </c>
      <c r="B241" s="26" t="inlineStr">
        <is>
          <t>Adv RAG + LangGraph</t>
        </is>
      </c>
      <c r="C241" s="27" t="inlineStr">
        <is>
          <t>Berkshire Hathaway</t>
        </is>
      </c>
      <c r="D241" s="25" t="inlineStr">
        <is>
          <t>10-Q</t>
        </is>
      </c>
      <c r="E241" s="25" t="n">
        <v>2023</v>
      </c>
      <c r="F241" s="19" t="inlineStr">
        <is>
          <t>paraphrased</t>
        </is>
      </c>
      <c r="G241" s="17" t="inlineStr">
        <is>
          <t>ANSWER</t>
        </is>
      </c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</row>
    <row r="242" ht="15.75" customHeight="1" s="66">
      <c r="A242" s="25" t="n">
        <v>39</v>
      </c>
      <c r="B242" s="26" t="inlineStr">
        <is>
          <t>Adv RAG + LangGraph</t>
        </is>
      </c>
      <c r="C242" s="27" t="inlineStr">
        <is>
          <t>Johnson &amp; Johnson</t>
        </is>
      </c>
      <c r="D242" s="25" t="inlineStr">
        <is>
          <t>10-Q</t>
        </is>
      </c>
      <c r="E242" s="25" t="n">
        <v>2025</v>
      </c>
      <c r="F242" s="19" t="inlineStr">
        <is>
          <t>paraphrased</t>
        </is>
      </c>
      <c r="G242" s="17" t="inlineStr">
        <is>
          <t>ANSWER</t>
        </is>
      </c>
      <c r="H242" s="18" t="n">
        <v>0</v>
      </c>
      <c r="I242" s="18" t="n">
        <v>0</v>
      </c>
      <c r="J242" s="18" t="n">
        <v>1</v>
      </c>
      <c r="K242" s="18" t="n">
        <v>1</v>
      </c>
      <c r="L242" s="18" t="n">
        <v>0</v>
      </c>
      <c r="M242" s="18" t="n">
        <v>0</v>
      </c>
      <c r="N242" s="18" t="n">
        <v>0.1891891891891892</v>
      </c>
      <c r="O242" s="18" t="n">
        <v>0.1228070175438596</v>
      </c>
      <c r="P242" s="18" t="n">
        <v>0.4117647058823529</v>
      </c>
      <c r="Q242" s="18" t="n">
        <v>0</v>
      </c>
      <c r="R242" s="18" t="n">
        <v>0</v>
      </c>
    </row>
    <row r="243" ht="15.75" customHeight="1" s="66">
      <c r="A243" s="25" t="n">
        <v>40</v>
      </c>
      <c r="B243" s="26" t="inlineStr">
        <is>
          <t>Adv RAG + LangGraph</t>
        </is>
      </c>
      <c r="C243" s="27" t="inlineStr">
        <is>
          <t>Johnson &amp; Johnson</t>
        </is>
      </c>
      <c r="D243" s="25" t="inlineStr">
        <is>
          <t>10-K</t>
        </is>
      </c>
      <c r="E243" s="25" t="n">
        <v>2025</v>
      </c>
      <c r="F243" s="19" t="inlineStr">
        <is>
          <t>paraphrased</t>
        </is>
      </c>
      <c r="G243" s="17" t="inlineStr">
        <is>
          <t>ANSWER</t>
        </is>
      </c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</row>
    <row r="244" ht="15.75" customHeight="1" s="66">
      <c r="A244" s="25" t="n">
        <v>41</v>
      </c>
      <c r="B244" s="26" t="inlineStr">
        <is>
          <t>Adv RAG + LangGraph</t>
        </is>
      </c>
      <c r="C244" s="27" t="inlineStr">
        <is>
          <t>UnitedHealth Group</t>
        </is>
      </c>
      <c r="D244" s="25" t="inlineStr">
        <is>
          <t>10-Q</t>
        </is>
      </c>
      <c r="E244" s="25" t="n">
        <v>2024</v>
      </c>
      <c r="F244" s="19" t="inlineStr">
        <is>
          <t>paraphrased</t>
        </is>
      </c>
      <c r="G244" s="17" t="inlineStr">
        <is>
          <t>ANSWER</t>
        </is>
      </c>
      <c r="H244" s="18" t="n">
        <v>0.2</v>
      </c>
      <c r="I244" s="18" t="n">
        <v>1</v>
      </c>
      <c r="J244" s="18" t="n">
        <v>0.6</v>
      </c>
      <c r="K244" s="18" t="n">
        <v>1</v>
      </c>
      <c r="L244" s="18" t="n">
        <v>1</v>
      </c>
      <c r="M244" s="18" t="n">
        <v>0</v>
      </c>
      <c r="N244" s="18" t="n">
        <v>0.1185983827493261</v>
      </c>
      <c r="O244" s="18" t="n">
        <v>0.06489675516224189</v>
      </c>
      <c r="P244" s="18" t="n">
        <v>0.6875</v>
      </c>
      <c r="Q244" s="18" t="n">
        <v>1</v>
      </c>
      <c r="R244" s="18" t="n">
        <v>1</v>
      </c>
    </row>
    <row r="245" ht="15.75" customHeight="1" s="66">
      <c r="A245" s="25" t="n">
        <v>42</v>
      </c>
      <c r="B245" s="26" t="inlineStr">
        <is>
          <t>Adv RAG + LangGraph</t>
        </is>
      </c>
      <c r="C245" s="27" t="inlineStr">
        <is>
          <t>UnitedHealth Group</t>
        </is>
      </c>
      <c r="D245" s="25" t="inlineStr">
        <is>
          <t>10-K</t>
        </is>
      </c>
      <c r="E245" s="25" t="n">
        <v>2023</v>
      </c>
      <c r="F245" s="19" t="inlineStr">
        <is>
          <t>paraphrased</t>
        </is>
      </c>
      <c r="G245" s="17" t="inlineStr">
        <is>
          <t>ANSWER</t>
        </is>
      </c>
      <c r="H245" s="18" t="n">
        <v>0</v>
      </c>
      <c r="I245" s="18" t="n">
        <v>0</v>
      </c>
      <c r="J245" s="18" t="n">
        <v>0.2</v>
      </c>
      <c r="K245" s="18" t="n">
        <v>1</v>
      </c>
      <c r="L245" s="18" t="n">
        <v>0</v>
      </c>
      <c r="M245" s="18" t="n">
        <v>0</v>
      </c>
      <c r="N245" s="18" t="n">
        <v>0.05882352941176471</v>
      </c>
      <c r="O245" s="18" t="n">
        <v>0.03038674033149171</v>
      </c>
      <c r="P245" s="18" t="n">
        <v>0.9166666666666666</v>
      </c>
      <c r="Q245" s="18" t="n">
        <v>1</v>
      </c>
      <c r="R245" s="18" t="n">
        <v>0</v>
      </c>
    </row>
    <row r="246" ht="15.75" customHeight="1" s="66">
      <c r="A246" s="25" t="n">
        <v>43</v>
      </c>
      <c r="B246" s="26" t="inlineStr">
        <is>
          <t>Adv RAG + LangGraph</t>
        </is>
      </c>
      <c r="C246" s="27" t="inlineStr">
        <is>
          <t>Exxon Mobil</t>
        </is>
      </c>
      <c r="D246" s="25" t="inlineStr">
        <is>
          <t>10-K</t>
        </is>
      </c>
      <c r="E246" s="25" t="n">
        <v>2023</v>
      </c>
      <c r="F246" s="19" t="inlineStr">
        <is>
          <t>paraphrased</t>
        </is>
      </c>
      <c r="G246" s="17" t="inlineStr">
        <is>
          <t>ANSWER</t>
        </is>
      </c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</row>
    <row r="247" ht="15.75" customHeight="1" s="66">
      <c r="A247" s="25" t="n">
        <v>44</v>
      </c>
      <c r="B247" s="26" t="inlineStr">
        <is>
          <t>Adv RAG + LangGraph</t>
        </is>
      </c>
      <c r="C247" s="27" t="inlineStr">
        <is>
          <t>Exxon Mobil</t>
        </is>
      </c>
      <c r="D247" s="25" t="inlineStr">
        <is>
          <t>10-Q</t>
        </is>
      </c>
      <c r="E247" s="25" t="n">
        <v>2025</v>
      </c>
      <c r="F247" s="19" t="inlineStr">
        <is>
          <t>paraphrased</t>
        </is>
      </c>
      <c r="G247" s="17" t="inlineStr">
        <is>
          <t>ANSWER</t>
        </is>
      </c>
      <c r="H247" s="18" t="n">
        <v>0</v>
      </c>
      <c r="I247" s="18" t="n">
        <v>0</v>
      </c>
      <c r="J247" s="18" t="n">
        <v>0</v>
      </c>
      <c r="K247" s="18" t="n">
        <v>1</v>
      </c>
      <c r="L247" s="18" t="n">
        <v>0</v>
      </c>
      <c r="M247" s="18" t="n">
        <v>0</v>
      </c>
      <c r="N247" s="18" t="n">
        <v>0.1578947368421053</v>
      </c>
      <c r="O247" s="18" t="n">
        <v>0.15</v>
      </c>
      <c r="P247" s="18" t="n">
        <v>0.1666666666666667</v>
      </c>
      <c r="Q247" s="18" t="n">
        <v>1</v>
      </c>
      <c r="R247" s="18" t="n">
        <v>0</v>
      </c>
    </row>
    <row r="248" ht="15.75" customHeight="1" s="66">
      <c r="A248" s="25" t="n">
        <v>45</v>
      </c>
      <c r="B248" s="26" t="inlineStr">
        <is>
          <t>Adv RAG + LangGraph</t>
        </is>
      </c>
      <c r="C248" s="27" t="inlineStr">
        <is>
          <t>Chevron</t>
        </is>
      </c>
      <c r="D248" s="25" t="inlineStr">
        <is>
          <t>10-Q</t>
        </is>
      </c>
      <c r="E248" s="25" t="n">
        <v>2024</v>
      </c>
      <c r="F248" s="19" t="inlineStr">
        <is>
          <t>paraphrased</t>
        </is>
      </c>
      <c r="G248" s="17" t="inlineStr">
        <is>
          <t>ANSWER</t>
        </is>
      </c>
      <c r="H248" s="18" t="n">
        <v>0</v>
      </c>
      <c r="I248" s="18" t="n">
        <v>0</v>
      </c>
      <c r="J248" s="18" t="n">
        <v>0</v>
      </c>
      <c r="K248" s="18" t="n">
        <v>0.5</v>
      </c>
      <c r="L248" s="18" t="n">
        <v>0</v>
      </c>
      <c r="M248" s="18" t="n">
        <v>0.5</v>
      </c>
      <c r="N248" s="18" t="n">
        <v>0.1818181818181818</v>
      </c>
      <c r="O248" s="18" t="n">
        <v>0.1111111111111111</v>
      </c>
      <c r="P248" s="18" t="n">
        <v>0.5</v>
      </c>
      <c r="Q248" s="18" t="n">
        <v>1</v>
      </c>
      <c r="R248" s="18" t="n">
        <v>0</v>
      </c>
    </row>
    <row r="249" ht="15.75" customHeight="1" s="66">
      <c r="A249" s="25" t="n">
        <v>46</v>
      </c>
      <c r="B249" s="26" t="inlineStr">
        <is>
          <t>Adv RAG + LangGraph</t>
        </is>
      </c>
      <c r="C249" s="27" t="inlineStr">
        <is>
          <t>Chevron</t>
        </is>
      </c>
      <c r="D249" s="25" t="inlineStr">
        <is>
          <t>10-K</t>
        </is>
      </c>
      <c r="E249" s="25" t="n">
        <v>2025</v>
      </c>
      <c r="F249" s="19" t="inlineStr">
        <is>
          <t>paraphrased</t>
        </is>
      </c>
      <c r="G249" s="17" t="inlineStr">
        <is>
          <t>ANSWER</t>
        </is>
      </c>
      <c r="H249" s="18" t="n">
        <v>0</v>
      </c>
      <c r="I249" s="18" t="n">
        <v>0</v>
      </c>
      <c r="J249" s="18" t="n">
        <v>0</v>
      </c>
      <c r="K249" s="18" t="n">
        <v>1</v>
      </c>
      <c r="L249" s="18" t="n">
        <v>1</v>
      </c>
      <c r="M249" s="18" t="n">
        <v>0</v>
      </c>
      <c r="N249" s="18" t="n">
        <v>0.4375</v>
      </c>
      <c r="O249" s="18" t="n">
        <v>0.35</v>
      </c>
      <c r="P249" s="18" t="n">
        <v>0.5833333333333334</v>
      </c>
      <c r="Q249" s="18" t="n">
        <v>1</v>
      </c>
      <c r="R249" s="18" t="n">
        <v>1</v>
      </c>
    </row>
    <row r="250" ht="15.75" customHeight="1" s="66">
      <c r="A250" s="25" t="n">
        <v>47</v>
      </c>
      <c r="B250" s="26" t="inlineStr">
        <is>
          <t>Adv RAG + LangGraph</t>
        </is>
      </c>
      <c r="C250" s="27" t="inlineStr">
        <is>
          <t>Walmart</t>
        </is>
      </c>
      <c r="D250" s="25" t="inlineStr">
        <is>
          <t>10-Q</t>
        </is>
      </c>
      <c r="E250" s="25" t="n">
        <v>2025</v>
      </c>
      <c r="F250" s="19" t="inlineStr">
        <is>
          <t>paraphrased</t>
        </is>
      </c>
      <c r="G250" s="17" t="inlineStr">
        <is>
          <t>ANSWER</t>
        </is>
      </c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</row>
    <row r="251" ht="15.75" customHeight="1" s="66">
      <c r="A251" s="25" t="n">
        <v>48</v>
      </c>
      <c r="B251" s="26" t="inlineStr">
        <is>
          <t>Adv RAG + LangGraph</t>
        </is>
      </c>
      <c r="C251" s="27" t="inlineStr">
        <is>
          <t>Walmart</t>
        </is>
      </c>
      <c r="D251" s="25" t="inlineStr">
        <is>
          <t>10-K</t>
        </is>
      </c>
      <c r="E251" s="25" t="n">
        <v>2025</v>
      </c>
      <c r="F251" s="19" t="inlineStr">
        <is>
          <t>paraphrased</t>
        </is>
      </c>
      <c r="G251" s="17" t="inlineStr">
        <is>
          <t>ANSWER</t>
        </is>
      </c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</row>
    <row r="252" ht="15.75" customHeight="1" s="66">
      <c r="A252" s="25" t="n">
        <v>49</v>
      </c>
      <c r="B252" s="26" t="inlineStr">
        <is>
          <t>Adv RAG + LangGraph</t>
        </is>
      </c>
      <c r="C252" s="27" t="inlineStr">
        <is>
          <t>Costco</t>
        </is>
      </c>
      <c r="D252" s="25" t="inlineStr">
        <is>
          <t>10-K</t>
        </is>
      </c>
      <c r="E252" s="25" t="n">
        <v>2025</v>
      </c>
      <c r="F252" s="19" t="inlineStr">
        <is>
          <t>paraphrased</t>
        </is>
      </c>
      <c r="G252" s="17" t="inlineStr">
        <is>
          <t>ANSWER</t>
        </is>
      </c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</row>
    <row r="253" ht="15.75" customHeight="1" s="66">
      <c r="A253" s="25" t="n">
        <v>50</v>
      </c>
      <c r="B253" s="26" t="inlineStr">
        <is>
          <t>Adv RAG + LangGraph</t>
        </is>
      </c>
      <c r="C253" s="27" t="inlineStr">
        <is>
          <t>Costco</t>
        </is>
      </c>
      <c r="D253" s="25" t="inlineStr">
        <is>
          <t>10-Q</t>
        </is>
      </c>
      <c r="E253" s="25" t="n">
        <v>2023</v>
      </c>
      <c r="F253" s="19" t="inlineStr">
        <is>
          <t>paraphrased</t>
        </is>
      </c>
      <c r="G253" s="17" t="inlineStr">
        <is>
          <t>ANSWER</t>
        </is>
      </c>
      <c r="H253" s="18" t="n">
        <v>0</v>
      </c>
      <c r="I253" s="18" t="n">
        <v>0</v>
      </c>
      <c r="J253" s="18" t="n">
        <v>0</v>
      </c>
      <c r="K253" s="18" t="n">
        <v>1</v>
      </c>
      <c r="L253" s="18" t="n">
        <v>0</v>
      </c>
      <c r="M253" s="18" t="n">
        <v>0</v>
      </c>
      <c r="N253" s="18" t="n">
        <v>0</v>
      </c>
      <c r="O253" s="18" t="n">
        <v>0</v>
      </c>
      <c r="P253" s="18" t="n">
        <v>0</v>
      </c>
      <c r="Q253" s="18" t="n">
        <v>1</v>
      </c>
      <c r="R253" s="18" t="n">
        <v>0</v>
      </c>
    </row>
    <row r="254" ht="15.75" customHeight="1" s="66">
      <c r="A254" s="25" t="n">
        <v>51</v>
      </c>
      <c r="B254" s="26" t="inlineStr">
        <is>
          <t>Adv RAG + LangGraph</t>
        </is>
      </c>
      <c r="C254" s="27" t="inlineStr">
        <is>
          <t>Apple</t>
        </is>
      </c>
      <c r="D254" s="25" t="inlineStr">
        <is>
          <t>10-K</t>
        </is>
      </c>
      <c r="E254" s="25" t="n">
        <v>2023</v>
      </c>
      <c r="F254" s="17" t="inlineStr">
        <is>
          <t>reasoning</t>
        </is>
      </c>
      <c r="G254" s="17" t="inlineStr">
        <is>
          <t>ANSWER</t>
        </is>
      </c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</row>
    <row r="255" ht="15.75" customHeight="1" s="66">
      <c r="A255" s="25" t="n">
        <v>52</v>
      </c>
      <c r="B255" s="26" t="inlineStr">
        <is>
          <t>Adv RAG + LangGraph</t>
        </is>
      </c>
      <c r="C255" s="27" t="inlineStr">
        <is>
          <t>Apple</t>
        </is>
      </c>
      <c r="D255" s="25" t="inlineStr">
        <is>
          <t>10-Q</t>
        </is>
      </c>
      <c r="E255" s="25" t="n">
        <v>2025</v>
      </c>
      <c r="F255" s="17" t="inlineStr">
        <is>
          <t>reasoning</t>
        </is>
      </c>
      <c r="G255" s="17" t="inlineStr">
        <is>
          <t>ANSWER</t>
        </is>
      </c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</row>
    <row r="256" ht="15.75" customHeight="1" s="66">
      <c r="A256" s="25" t="n">
        <v>53</v>
      </c>
      <c r="B256" s="26" t="inlineStr">
        <is>
          <t>Adv RAG + LangGraph</t>
        </is>
      </c>
      <c r="C256" s="27" t="inlineStr">
        <is>
          <t>Microsoft</t>
        </is>
      </c>
      <c r="D256" s="25" t="inlineStr">
        <is>
          <t>10-K</t>
        </is>
      </c>
      <c r="E256" s="25" t="n">
        <v>2023</v>
      </c>
      <c r="F256" s="17" t="inlineStr">
        <is>
          <t>reasoning</t>
        </is>
      </c>
      <c r="G256" s="17" t="inlineStr">
        <is>
          <t>ANSWER</t>
        </is>
      </c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</row>
    <row r="257" ht="15.75" customHeight="1" s="66">
      <c r="A257" s="25" t="n">
        <v>54</v>
      </c>
      <c r="B257" s="26" t="inlineStr">
        <is>
          <t>Adv RAG + LangGraph</t>
        </is>
      </c>
      <c r="C257" s="27" t="inlineStr">
        <is>
          <t>Microsoft</t>
        </is>
      </c>
      <c r="D257" s="25" t="inlineStr">
        <is>
          <t>10-Q</t>
        </is>
      </c>
      <c r="E257" s="25" t="n">
        <v>2024</v>
      </c>
      <c r="F257" s="17" t="inlineStr">
        <is>
          <t>reasoning</t>
        </is>
      </c>
      <c r="G257" s="17" t="inlineStr">
        <is>
          <t>ANSWER</t>
        </is>
      </c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</row>
    <row r="258" ht="15.75" customHeight="1" s="66">
      <c r="A258" s="25" t="n">
        <v>55</v>
      </c>
      <c r="B258" s="26" t="inlineStr">
        <is>
          <t>Adv RAG + LangGraph</t>
        </is>
      </c>
      <c r="C258" s="27" t="inlineStr">
        <is>
          <t>NVIDIA</t>
        </is>
      </c>
      <c r="D258" s="25" t="inlineStr">
        <is>
          <t>10-K</t>
        </is>
      </c>
      <c r="E258" s="25" t="n">
        <v>2024</v>
      </c>
      <c r="F258" s="17" t="inlineStr">
        <is>
          <t>reasoning</t>
        </is>
      </c>
      <c r="G258" s="17" t="inlineStr">
        <is>
          <t>ANSWER</t>
        </is>
      </c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</row>
    <row r="259" ht="15.75" customHeight="1" s="66">
      <c r="A259" s="25" t="n">
        <v>56</v>
      </c>
      <c r="B259" s="26" t="inlineStr">
        <is>
          <t>Adv RAG + LangGraph</t>
        </is>
      </c>
      <c r="C259" s="27" t="inlineStr">
        <is>
          <t>NVIDIA</t>
        </is>
      </c>
      <c r="D259" s="25" t="inlineStr">
        <is>
          <t>10-Q</t>
        </is>
      </c>
      <c r="E259" s="25" t="n">
        <v>2025</v>
      </c>
      <c r="F259" s="17" t="inlineStr">
        <is>
          <t>reasoning</t>
        </is>
      </c>
      <c r="G259" s="17" t="inlineStr">
        <is>
          <t>ANSWER</t>
        </is>
      </c>
      <c r="H259" s="18" t="n">
        <v>0</v>
      </c>
      <c r="I259" s="18" t="n">
        <v>0</v>
      </c>
      <c r="J259" s="18" t="n">
        <v>0</v>
      </c>
      <c r="K259" s="18" t="n">
        <v>1</v>
      </c>
      <c r="L259" s="18" t="n">
        <v>0</v>
      </c>
      <c r="M259" s="18" t="n">
        <v>0</v>
      </c>
      <c r="N259" s="18" t="n">
        <v>0.1714285714285714</v>
      </c>
      <c r="O259" s="18" t="n">
        <v>0.1764705882352941</v>
      </c>
      <c r="P259" s="18" t="n">
        <v>0.1666666666666667</v>
      </c>
      <c r="Q259" s="18" t="n">
        <v>0</v>
      </c>
      <c r="R259" s="18" t="n">
        <v>0</v>
      </c>
    </row>
    <row r="260" ht="15.75" customHeight="1" s="66">
      <c r="A260" s="25" t="n">
        <v>57</v>
      </c>
      <c r="B260" s="26" t="inlineStr">
        <is>
          <t>Adv RAG + LangGraph</t>
        </is>
      </c>
      <c r="C260" s="27" t="inlineStr">
        <is>
          <t>NVIDIA</t>
        </is>
      </c>
      <c r="D260" s="25" t="inlineStr">
        <is>
          <t>10-K</t>
        </is>
      </c>
      <c r="E260" s="25" t="n">
        <v>2024</v>
      </c>
      <c r="F260" s="17" t="inlineStr">
        <is>
          <t>reasoning</t>
        </is>
      </c>
      <c r="G260" s="17" t="inlineStr">
        <is>
          <t>ANSWER</t>
        </is>
      </c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</row>
    <row r="261" ht="15.75" customHeight="1" s="66">
      <c r="A261" s="25" t="n">
        <v>58</v>
      </c>
      <c r="B261" s="26" t="inlineStr">
        <is>
          <t>Adv RAG + LangGraph</t>
        </is>
      </c>
      <c r="C261" s="27" t="inlineStr">
        <is>
          <t>JPMorgan Chase</t>
        </is>
      </c>
      <c r="D261" s="25" t="inlineStr">
        <is>
          <t>10-K</t>
        </is>
      </c>
      <c r="E261" s="25" t="n">
        <v>2025</v>
      </c>
      <c r="F261" s="17" t="inlineStr">
        <is>
          <t>reasoning</t>
        </is>
      </c>
      <c r="G261" s="17" t="inlineStr">
        <is>
          <t>ANSWER</t>
        </is>
      </c>
      <c r="H261" s="18" t="n">
        <v>0</v>
      </c>
      <c r="I261" s="18" t="n">
        <v>0</v>
      </c>
      <c r="J261" s="18" t="n">
        <v>0</v>
      </c>
      <c r="K261" s="18" t="n">
        <v>0</v>
      </c>
      <c r="L261" s="18" t="n">
        <v>0</v>
      </c>
      <c r="M261" s="18" t="n">
        <v>1</v>
      </c>
      <c r="N261" s="18" t="n">
        <v>0.1746031746031746</v>
      </c>
      <c r="O261" s="18" t="n">
        <v>0.09821428571428571</v>
      </c>
      <c r="P261" s="18" t="n">
        <v>0.7857142857142857</v>
      </c>
      <c r="Q261" s="18" t="n">
        <v>1</v>
      </c>
      <c r="R261" s="18" t="n">
        <v>0</v>
      </c>
    </row>
    <row r="262" ht="15.75" customHeight="1" s="66">
      <c r="A262" s="25" t="n">
        <v>59</v>
      </c>
      <c r="B262" s="26" t="inlineStr">
        <is>
          <t>Adv RAG + LangGraph</t>
        </is>
      </c>
      <c r="C262" s="27" t="inlineStr">
        <is>
          <t>JPMorgan Chase</t>
        </is>
      </c>
      <c r="D262" s="25" t="inlineStr">
        <is>
          <t>10-Q</t>
        </is>
      </c>
      <c r="E262" s="25" t="n">
        <v>2024</v>
      </c>
      <c r="F262" s="17" t="inlineStr">
        <is>
          <t>reasoning</t>
        </is>
      </c>
      <c r="G262" s="17" t="inlineStr">
        <is>
          <t>ANSWER</t>
        </is>
      </c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</row>
    <row r="263" ht="15.75" customHeight="1" s="66">
      <c r="A263" s="25" t="n">
        <v>60</v>
      </c>
      <c r="B263" s="26" t="inlineStr">
        <is>
          <t>Adv RAG + LangGraph</t>
        </is>
      </c>
      <c r="C263" s="27" t="inlineStr">
        <is>
          <t>Bank of America</t>
        </is>
      </c>
      <c r="D263" s="25" t="inlineStr">
        <is>
          <t>10-K</t>
        </is>
      </c>
      <c r="E263" s="25" t="n">
        <v>2025</v>
      </c>
      <c r="F263" s="17" t="inlineStr">
        <is>
          <t>reasoning</t>
        </is>
      </c>
      <c r="G263" s="17" t="inlineStr">
        <is>
          <t>ANSWER</t>
        </is>
      </c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</row>
    <row r="264" ht="15.75" customHeight="1" s="66">
      <c r="A264" s="25" t="n">
        <v>61</v>
      </c>
      <c r="B264" s="26" t="inlineStr">
        <is>
          <t>Adv RAG + LangGraph</t>
        </is>
      </c>
      <c r="C264" s="27" t="inlineStr">
        <is>
          <t>Bank of America</t>
        </is>
      </c>
      <c r="D264" s="25" t="inlineStr">
        <is>
          <t>10-Q</t>
        </is>
      </c>
      <c r="E264" s="25" t="n">
        <v>2025</v>
      </c>
      <c r="F264" s="17" t="inlineStr">
        <is>
          <t>reasoning</t>
        </is>
      </c>
      <c r="G264" s="17" t="inlineStr">
        <is>
          <t>ANSWER</t>
        </is>
      </c>
      <c r="H264" s="18" t="n">
        <v>0</v>
      </c>
      <c r="I264" s="18" t="n">
        <v>0</v>
      </c>
      <c r="J264" s="18" t="n">
        <v>0</v>
      </c>
      <c r="K264" s="18" t="n">
        <v>1</v>
      </c>
      <c r="L264" s="18" t="n">
        <v>0</v>
      </c>
      <c r="M264" s="18" t="n">
        <v>0</v>
      </c>
      <c r="N264" s="18" t="n">
        <v>0.05128205128205128</v>
      </c>
      <c r="O264" s="18" t="n">
        <v>0.05882352941176471</v>
      </c>
      <c r="P264" s="18" t="n">
        <v>0.04545454545454546</v>
      </c>
      <c r="Q264" s="18" t="n">
        <v>0</v>
      </c>
      <c r="R264" s="18" t="n">
        <v>0</v>
      </c>
    </row>
    <row r="265" ht="15.75" customHeight="1" s="66">
      <c r="A265" s="25" t="n">
        <v>62</v>
      </c>
      <c r="B265" s="26" t="inlineStr">
        <is>
          <t>Adv RAG + LangGraph</t>
        </is>
      </c>
      <c r="C265" s="27" t="inlineStr">
        <is>
          <t>Berkshire Hathaway</t>
        </is>
      </c>
      <c r="D265" s="25" t="inlineStr">
        <is>
          <t>10-Q</t>
        </is>
      </c>
      <c r="E265" s="25" t="n">
        <v>2024</v>
      </c>
      <c r="F265" s="17" t="inlineStr">
        <is>
          <t>reasoning</t>
        </is>
      </c>
      <c r="G265" s="17" t="inlineStr">
        <is>
          <t>ANSWER</t>
        </is>
      </c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</row>
    <row r="266" ht="15.75" customHeight="1" s="66">
      <c r="A266" s="25" t="n">
        <v>63</v>
      </c>
      <c r="B266" s="26" t="inlineStr">
        <is>
          <t>Adv RAG + LangGraph</t>
        </is>
      </c>
      <c r="C266" s="27" t="inlineStr">
        <is>
          <t>Berkshire Hathaway</t>
        </is>
      </c>
      <c r="D266" s="25" t="inlineStr">
        <is>
          <t>10-K</t>
        </is>
      </c>
      <c r="E266" s="25" t="n">
        <v>2026</v>
      </c>
      <c r="F266" s="17" t="inlineStr">
        <is>
          <t>reasoning</t>
        </is>
      </c>
      <c r="G266" s="17" t="inlineStr">
        <is>
          <t>ANSWER</t>
        </is>
      </c>
      <c r="H266" s="18" t="n">
        <v>0</v>
      </c>
      <c r="I266" s="18" t="n">
        <v>0</v>
      </c>
      <c r="J266" s="18" t="n">
        <v>0</v>
      </c>
      <c r="K266" s="18" t="n">
        <v>1</v>
      </c>
      <c r="L266" s="18" t="n">
        <v>0</v>
      </c>
      <c r="M266" s="18" t="n">
        <v>0</v>
      </c>
      <c r="N266" s="18" t="n">
        <v>0.3125</v>
      </c>
      <c r="O266" s="18" t="n">
        <v>0.2941176470588235</v>
      </c>
      <c r="P266" s="18" t="n">
        <v>0.3333333333333333</v>
      </c>
      <c r="Q266" s="18" t="n">
        <v>1</v>
      </c>
      <c r="R266" s="18" t="n">
        <v>0</v>
      </c>
    </row>
    <row r="267" ht="15.75" customHeight="1" s="66">
      <c r="A267" s="25" t="n">
        <v>64</v>
      </c>
      <c r="B267" s="26" t="inlineStr">
        <is>
          <t>Adv RAG + LangGraph</t>
        </is>
      </c>
      <c r="C267" s="27" t="inlineStr">
        <is>
          <t>Johnson &amp; Johnson</t>
        </is>
      </c>
      <c r="D267" s="25" t="inlineStr">
        <is>
          <t>10-K</t>
        </is>
      </c>
      <c r="E267" s="25" t="n">
        <v>2025</v>
      </c>
      <c r="F267" s="17" t="inlineStr">
        <is>
          <t>reasoning</t>
        </is>
      </c>
      <c r="G267" s="17" t="inlineStr">
        <is>
          <t>ANSWER</t>
        </is>
      </c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</row>
    <row r="268" ht="15.75" customHeight="1" s="66">
      <c r="A268" s="25" t="n">
        <v>65</v>
      </c>
      <c r="B268" s="26" t="inlineStr">
        <is>
          <t>Adv RAG + LangGraph</t>
        </is>
      </c>
      <c r="C268" s="27" t="inlineStr">
        <is>
          <t>Johnson &amp; Johnson</t>
        </is>
      </c>
      <c r="D268" s="25" t="inlineStr">
        <is>
          <t>10-Q</t>
        </is>
      </c>
      <c r="E268" s="25" t="n">
        <v>2023</v>
      </c>
      <c r="F268" s="17" t="inlineStr">
        <is>
          <t>reasoning</t>
        </is>
      </c>
      <c r="G268" s="17" t="inlineStr">
        <is>
          <t>ANSWER</t>
        </is>
      </c>
      <c r="H268" s="18" t="n">
        <v>0</v>
      </c>
      <c r="I268" s="18" t="n">
        <v>0</v>
      </c>
      <c r="J268" s="18" t="n">
        <v>0</v>
      </c>
      <c r="K268" s="18" t="n">
        <v>0</v>
      </c>
      <c r="L268" s="18" t="n">
        <v>0</v>
      </c>
      <c r="M268" s="18" t="n">
        <v>1</v>
      </c>
      <c r="N268" s="18" t="n">
        <v>0.7391304347826089</v>
      </c>
      <c r="O268" s="18" t="n">
        <v>0.68</v>
      </c>
      <c r="P268" s="18" t="n">
        <v>0.8095238095238095</v>
      </c>
      <c r="Q268" s="18" t="n">
        <v>1</v>
      </c>
      <c r="R268" s="18" t="n">
        <v>0</v>
      </c>
    </row>
    <row r="269" ht="15.75" customHeight="1" s="66">
      <c r="A269" s="25" t="n">
        <v>66</v>
      </c>
      <c r="B269" s="26" t="inlineStr">
        <is>
          <t>Adv RAG + LangGraph</t>
        </is>
      </c>
      <c r="C269" s="27" t="inlineStr">
        <is>
          <t>UnitedHealth Group</t>
        </is>
      </c>
      <c r="D269" s="25" t="inlineStr">
        <is>
          <t>10-K</t>
        </is>
      </c>
      <c r="E269" s="25" t="n">
        <v>2025</v>
      </c>
      <c r="F269" s="17" t="inlineStr">
        <is>
          <t>reasoning</t>
        </is>
      </c>
      <c r="G269" s="17" t="inlineStr">
        <is>
          <t>ANSWER</t>
        </is>
      </c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</row>
    <row r="270" ht="15.75" customHeight="1" s="66">
      <c r="A270" s="25" t="n">
        <v>67</v>
      </c>
      <c r="B270" s="26" t="inlineStr">
        <is>
          <t>Adv RAG + LangGraph</t>
        </is>
      </c>
      <c r="C270" s="27" t="inlineStr">
        <is>
          <t>UnitedHealth Group</t>
        </is>
      </c>
      <c r="D270" s="25" t="inlineStr">
        <is>
          <t>10-Q</t>
        </is>
      </c>
      <c r="E270" s="25" t="n">
        <v>2025</v>
      </c>
      <c r="F270" s="17" t="inlineStr">
        <is>
          <t>reasoning</t>
        </is>
      </c>
      <c r="G270" s="17" t="inlineStr">
        <is>
          <t>ANSWER</t>
        </is>
      </c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</row>
    <row r="271" ht="15.75" customHeight="1" s="66">
      <c r="A271" s="25" t="n">
        <v>68</v>
      </c>
      <c r="B271" s="26" t="inlineStr">
        <is>
          <t>Adv RAG + LangGraph</t>
        </is>
      </c>
      <c r="C271" s="27" t="inlineStr">
        <is>
          <t>Exxon Mobil</t>
        </is>
      </c>
      <c r="D271" s="25" t="inlineStr">
        <is>
          <t>10-K</t>
        </is>
      </c>
      <c r="E271" s="25" t="n">
        <v>2025</v>
      </c>
      <c r="F271" s="17" t="inlineStr">
        <is>
          <t>reasoning</t>
        </is>
      </c>
      <c r="G271" s="17" t="inlineStr">
        <is>
          <t>ANSWER</t>
        </is>
      </c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</row>
    <row r="272" ht="15.75" customHeight="1" s="66">
      <c r="A272" s="25" t="n">
        <v>69</v>
      </c>
      <c r="B272" s="26" t="inlineStr">
        <is>
          <t>Adv RAG + LangGraph</t>
        </is>
      </c>
      <c r="C272" s="27" t="inlineStr">
        <is>
          <t>Exxon Mobil</t>
        </is>
      </c>
      <c r="D272" s="25" t="inlineStr">
        <is>
          <t>10-Q</t>
        </is>
      </c>
      <c r="E272" s="25" t="n">
        <v>2024</v>
      </c>
      <c r="F272" s="17" t="inlineStr">
        <is>
          <t>reasoning</t>
        </is>
      </c>
      <c r="G272" s="17" t="inlineStr">
        <is>
          <t>ANSWER</t>
        </is>
      </c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</row>
    <row r="273" ht="15.75" customHeight="1" s="66">
      <c r="A273" s="25" t="n">
        <v>70</v>
      </c>
      <c r="B273" s="26" t="inlineStr">
        <is>
          <t>Adv RAG + LangGraph</t>
        </is>
      </c>
      <c r="C273" s="27" t="inlineStr">
        <is>
          <t>Chevron</t>
        </is>
      </c>
      <c r="D273" s="25" t="inlineStr">
        <is>
          <t>10-K</t>
        </is>
      </c>
      <c r="E273" s="25" t="n">
        <v>2025</v>
      </c>
      <c r="F273" s="17" t="inlineStr">
        <is>
          <t>reasoning</t>
        </is>
      </c>
      <c r="G273" s="17" t="inlineStr">
        <is>
          <t>ANSWER</t>
        </is>
      </c>
      <c r="H273" s="18" t="n">
        <v>0</v>
      </c>
      <c r="I273" s="18" t="n">
        <v>0</v>
      </c>
      <c r="J273" s="18" t="n">
        <v>0</v>
      </c>
      <c r="K273" s="18" t="n">
        <v>1</v>
      </c>
      <c r="L273" s="18" t="n">
        <v>0</v>
      </c>
      <c r="M273" s="18" t="n">
        <v>0</v>
      </c>
      <c r="N273" s="18" t="n">
        <v>0.2535211267605634</v>
      </c>
      <c r="O273" s="18" t="n">
        <v>0.3</v>
      </c>
      <c r="P273" s="18" t="n">
        <v>0.2195121951219512</v>
      </c>
      <c r="Q273" s="18" t="n">
        <v>1</v>
      </c>
      <c r="R273" s="18" t="n">
        <v>0</v>
      </c>
    </row>
    <row r="274" ht="15.75" customHeight="1" s="66">
      <c r="A274" s="25" t="n">
        <v>71</v>
      </c>
      <c r="B274" s="26" t="inlineStr">
        <is>
          <t>Adv RAG + LangGraph</t>
        </is>
      </c>
      <c r="C274" s="27" t="inlineStr">
        <is>
          <t>Chevron</t>
        </is>
      </c>
      <c r="D274" s="25" t="inlineStr">
        <is>
          <t>10-Q</t>
        </is>
      </c>
      <c r="E274" s="25" t="n">
        <v>2024</v>
      </c>
      <c r="F274" s="17" t="inlineStr">
        <is>
          <t>reasoning</t>
        </is>
      </c>
      <c r="G274" s="17" t="inlineStr">
        <is>
          <t>ANSWER</t>
        </is>
      </c>
      <c r="H274" s="18" t="n">
        <v>0</v>
      </c>
      <c r="I274" s="18" t="n">
        <v>0</v>
      </c>
      <c r="J274" s="18" t="n">
        <v>0</v>
      </c>
      <c r="K274" s="18" t="n">
        <v>0</v>
      </c>
      <c r="L274" s="18" t="n">
        <v>0</v>
      </c>
      <c r="M274" s="18" t="n">
        <v>1</v>
      </c>
      <c r="N274" s="18" t="n">
        <v>0.4090909090909091</v>
      </c>
      <c r="O274" s="18" t="n">
        <v>0.3461538461538461</v>
      </c>
      <c r="P274" s="18" t="n">
        <v>0.5</v>
      </c>
      <c r="Q274" s="18" t="n">
        <v>1</v>
      </c>
      <c r="R274" s="18" t="n">
        <v>0</v>
      </c>
    </row>
    <row r="275" ht="15.75" customHeight="1" s="66">
      <c r="A275" s="25" t="n">
        <v>72</v>
      </c>
      <c r="B275" s="26" t="inlineStr">
        <is>
          <t>Adv RAG + LangGraph</t>
        </is>
      </c>
      <c r="C275" s="27" t="inlineStr">
        <is>
          <t>Walmart</t>
        </is>
      </c>
      <c r="D275" s="25" t="inlineStr">
        <is>
          <t>10-K</t>
        </is>
      </c>
      <c r="E275" s="25" t="n">
        <v>2024</v>
      </c>
      <c r="F275" s="17" t="inlineStr">
        <is>
          <t>reasoning</t>
        </is>
      </c>
      <c r="G275" s="17" t="inlineStr">
        <is>
          <t>ANSWER</t>
        </is>
      </c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</row>
    <row r="276" ht="15.75" customHeight="1" s="66">
      <c r="A276" s="25" t="n">
        <v>73</v>
      </c>
      <c r="B276" s="26" t="inlineStr">
        <is>
          <t>Adv RAG + LangGraph</t>
        </is>
      </c>
      <c r="C276" s="27" t="inlineStr">
        <is>
          <t>Walmart</t>
        </is>
      </c>
      <c r="D276" s="25" t="inlineStr">
        <is>
          <t>10-Q</t>
        </is>
      </c>
      <c r="E276" s="25" t="n">
        <v>2025</v>
      </c>
      <c r="F276" s="17" t="inlineStr">
        <is>
          <t>reasoning</t>
        </is>
      </c>
      <c r="G276" s="17" t="inlineStr">
        <is>
          <t>ANSWER</t>
        </is>
      </c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</row>
    <row r="277" ht="15.75" customHeight="1" s="66">
      <c r="A277" s="25" t="n">
        <v>74</v>
      </c>
      <c r="B277" s="26" t="inlineStr">
        <is>
          <t>Adv RAG + LangGraph</t>
        </is>
      </c>
      <c r="C277" s="27" t="inlineStr">
        <is>
          <t>Costco</t>
        </is>
      </c>
      <c r="D277" s="25" t="inlineStr">
        <is>
          <t>10-Q</t>
        </is>
      </c>
      <c r="E277" s="25" t="n">
        <v>2025</v>
      </c>
      <c r="F277" s="17" t="inlineStr">
        <is>
          <t>reasoning</t>
        </is>
      </c>
      <c r="G277" s="17" t="inlineStr">
        <is>
          <t>ANSWER</t>
        </is>
      </c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</row>
    <row r="278" ht="15.75" customHeight="1" s="66">
      <c r="A278" s="25" t="n">
        <v>75</v>
      </c>
      <c r="B278" s="26" t="inlineStr">
        <is>
          <t>Adv RAG + LangGraph</t>
        </is>
      </c>
      <c r="C278" s="27" t="inlineStr">
        <is>
          <t>Costco</t>
        </is>
      </c>
      <c r="D278" s="25" t="inlineStr">
        <is>
          <t>10-Q</t>
        </is>
      </c>
      <c r="E278" s="25" t="n">
        <v>2024</v>
      </c>
      <c r="F278" s="17" t="inlineStr">
        <is>
          <t>reasoning</t>
        </is>
      </c>
      <c r="G278" s="17" t="inlineStr">
        <is>
          <t>ANSWER</t>
        </is>
      </c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</row>
    <row r="279" ht="15.75" customHeight="1" s="66">
      <c r="A279" s="25" t="n">
        <v>76</v>
      </c>
      <c r="B279" s="26" t="inlineStr">
        <is>
          <t>Adv RAG + LangGraph</t>
        </is>
      </c>
      <c r="C279" s="27" t="inlineStr">
        <is>
          <t>Apple</t>
        </is>
      </c>
      <c r="D279" s="25" t="n"/>
      <c r="E279" s="25" t="n"/>
      <c r="F279" s="21" t="inlineStr">
        <is>
          <t>hallucination</t>
        </is>
      </c>
      <c r="G279" s="21" t="inlineStr">
        <is>
          <t>REFUSE</t>
        </is>
      </c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</row>
    <row r="280" ht="15.75" customHeight="1" s="66">
      <c r="A280" s="25" t="n">
        <v>77</v>
      </c>
      <c r="B280" s="26" t="inlineStr">
        <is>
          <t>Adv RAG + LangGraph</t>
        </is>
      </c>
      <c r="C280" s="27" t="inlineStr">
        <is>
          <t>Apple</t>
        </is>
      </c>
      <c r="D280" s="25" t="n"/>
      <c r="E280" s="25" t="n"/>
      <c r="F280" s="21" t="inlineStr">
        <is>
          <t>hallucination</t>
        </is>
      </c>
      <c r="G280" s="21" t="inlineStr">
        <is>
          <t>REFUSE</t>
        </is>
      </c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</row>
    <row r="281" ht="15.75" customHeight="1" s="66">
      <c r="A281" s="25" t="n">
        <v>78</v>
      </c>
      <c r="B281" s="26" t="inlineStr">
        <is>
          <t>Adv RAG + LangGraph</t>
        </is>
      </c>
      <c r="C281" s="27" t="inlineStr">
        <is>
          <t>Microsoft</t>
        </is>
      </c>
      <c r="D281" s="25" t="n"/>
      <c r="E281" s="25" t="n"/>
      <c r="F281" s="21" t="inlineStr">
        <is>
          <t>hallucination</t>
        </is>
      </c>
      <c r="G281" s="21" t="inlineStr">
        <is>
          <t>REFUSE</t>
        </is>
      </c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</row>
    <row r="282" ht="15.75" customHeight="1" s="66">
      <c r="A282" s="25" t="n">
        <v>79</v>
      </c>
      <c r="B282" s="26" t="inlineStr">
        <is>
          <t>Adv RAG + LangGraph</t>
        </is>
      </c>
      <c r="C282" s="27" t="inlineStr">
        <is>
          <t>Microsoft</t>
        </is>
      </c>
      <c r="D282" s="25" t="n"/>
      <c r="E282" s="25" t="n"/>
      <c r="F282" s="21" t="inlineStr">
        <is>
          <t>hallucination</t>
        </is>
      </c>
      <c r="G282" s="21" t="inlineStr">
        <is>
          <t>REFUSE</t>
        </is>
      </c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</row>
    <row r="283" ht="15.75" customHeight="1" s="66">
      <c r="A283" s="25" t="n">
        <v>80</v>
      </c>
      <c r="B283" s="26" t="inlineStr">
        <is>
          <t>Adv RAG + LangGraph</t>
        </is>
      </c>
      <c r="C283" s="27" t="inlineStr">
        <is>
          <t>NVIDIA</t>
        </is>
      </c>
      <c r="D283" s="25" t="n"/>
      <c r="E283" s="25" t="n"/>
      <c r="F283" s="21" t="inlineStr">
        <is>
          <t>hallucination</t>
        </is>
      </c>
      <c r="G283" s="21" t="inlineStr">
        <is>
          <t>REFUSE</t>
        </is>
      </c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</row>
    <row r="284" ht="15.75" customHeight="1" s="66">
      <c r="A284" s="25" t="n">
        <v>81</v>
      </c>
      <c r="B284" s="26" t="inlineStr">
        <is>
          <t>Adv RAG + LangGraph</t>
        </is>
      </c>
      <c r="C284" s="27" t="inlineStr">
        <is>
          <t>NVIDIA</t>
        </is>
      </c>
      <c r="D284" s="25" t="n"/>
      <c r="E284" s="25" t="n"/>
      <c r="F284" s="21" t="inlineStr">
        <is>
          <t>hallucination</t>
        </is>
      </c>
      <c r="G284" s="21" t="inlineStr">
        <is>
          <t>REFUSE</t>
        </is>
      </c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</row>
    <row r="285" ht="15.75" customHeight="1" s="66">
      <c r="A285" s="25" t="n">
        <v>82</v>
      </c>
      <c r="B285" s="26" t="inlineStr">
        <is>
          <t>Adv RAG + LangGraph</t>
        </is>
      </c>
      <c r="C285" s="27" t="inlineStr">
        <is>
          <t>NVIDIA</t>
        </is>
      </c>
      <c r="D285" s="25" t="n"/>
      <c r="E285" s="25" t="n"/>
      <c r="F285" s="21" t="inlineStr">
        <is>
          <t>hallucination</t>
        </is>
      </c>
      <c r="G285" s="21" t="inlineStr">
        <is>
          <t>REFUSE</t>
        </is>
      </c>
      <c r="H285" s="18" t="n">
        <v>0</v>
      </c>
      <c r="I285" s="18" t="n">
        <v>0</v>
      </c>
      <c r="J285" s="18" t="n">
        <v>0</v>
      </c>
      <c r="K285" s="18" t="n">
        <v>1</v>
      </c>
      <c r="L285" s="18" t="n">
        <v>0</v>
      </c>
      <c r="M285" s="18" t="n">
        <v>0</v>
      </c>
      <c r="N285" s="18" t="n"/>
      <c r="O285" s="18" t="n">
        <v>0</v>
      </c>
      <c r="P285" s="18" t="n">
        <v>0</v>
      </c>
      <c r="Q285" s="18" t="n">
        <v>0</v>
      </c>
      <c r="R285" s="18" t="n">
        <v>0</v>
      </c>
    </row>
    <row r="286" ht="15.75" customHeight="1" s="66">
      <c r="A286" s="25" t="n">
        <v>83</v>
      </c>
      <c r="B286" s="26" t="inlineStr">
        <is>
          <t>Adv RAG + LangGraph</t>
        </is>
      </c>
      <c r="C286" s="27" t="inlineStr">
        <is>
          <t>JPMorgan Chase</t>
        </is>
      </c>
      <c r="D286" s="25" t="n"/>
      <c r="E286" s="25" t="n"/>
      <c r="F286" s="21" t="inlineStr">
        <is>
          <t>hallucination</t>
        </is>
      </c>
      <c r="G286" s="21" t="inlineStr">
        <is>
          <t>REFUSE</t>
        </is>
      </c>
      <c r="H286" s="18" t="n">
        <v>0</v>
      </c>
      <c r="I286" s="18" t="n">
        <v>0</v>
      </c>
      <c r="J286" s="18" t="n">
        <v>0</v>
      </c>
      <c r="K286" s="18" t="n">
        <v>1</v>
      </c>
      <c r="L286" s="18" t="n">
        <v>0</v>
      </c>
      <c r="M286" s="18" t="n">
        <v>0</v>
      </c>
      <c r="N286" s="18" t="n"/>
      <c r="O286" s="18" t="n">
        <v>0</v>
      </c>
      <c r="P286" s="18" t="n">
        <v>0</v>
      </c>
      <c r="Q286" s="18" t="n">
        <v>0</v>
      </c>
      <c r="R286" s="18" t="n">
        <v>0</v>
      </c>
    </row>
    <row r="287" ht="15.75" customHeight="1" s="66">
      <c r="A287" s="25" t="n">
        <v>84</v>
      </c>
      <c r="B287" s="26" t="inlineStr">
        <is>
          <t>Adv RAG + LangGraph</t>
        </is>
      </c>
      <c r="C287" s="27" t="inlineStr">
        <is>
          <t>JPMorgan Chase</t>
        </is>
      </c>
      <c r="D287" s="25" t="n"/>
      <c r="E287" s="25" t="n"/>
      <c r="F287" s="21" t="inlineStr">
        <is>
          <t>hallucination</t>
        </is>
      </c>
      <c r="G287" s="21" t="inlineStr">
        <is>
          <t>REFUSE</t>
        </is>
      </c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</row>
    <row r="288" ht="15.75" customHeight="1" s="66">
      <c r="A288" s="25" t="n">
        <v>85</v>
      </c>
      <c r="B288" s="26" t="inlineStr">
        <is>
          <t>Adv RAG + LangGraph</t>
        </is>
      </c>
      <c r="C288" s="27" t="inlineStr">
        <is>
          <t>Bank of America</t>
        </is>
      </c>
      <c r="D288" s="25" t="n"/>
      <c r="E288" s="25" t="n"/>
      <c r="F288" s="21" t="inlineStr">
        <is>
          <t>hallucination</t>
        </is>
      </c>
      <c r="G288" s="21" t="inlineStr">
        <is>
          <t>REFUSE</t>
        </is>
      </c>
      <c r="H288" s="18" t="n">
        <v>0</v>
      </c>
      <c r="I288" s="18" t="n">
        <v>0</v>
      </c>
      <c r="J288" s="18" t="n">
        <v>0</v>
      </c>
      <c r="K288" s="18" t="n">
        <v>1</v>
      </c>
      <c r="L288" s="18" t="n">
        <v>0</v>
      </c>
      <c r="M288" s="18" t="n">
        <v>0</v>
      </c>
      <c r="N288" s="18" t="n"/>
      <c r="O288" s="18" t="n">
        <v>0</v>
      </c>
      <c r="P288" s="18" t="n">
        <v>0</v>
      </c>
      <c r="Q288" s="18" t="n">
        <v>0</v>
      </c>
      <c r="R288" s="18" t="n">
        <v>0</v>
      </c>
    </row>
    <row r="289" ht="15.75" customHeight="1" s="66">
      <c r="A289" s="25" t="n">
        <v>86</v>
      </c>
      <c r="B289" s="26" t="inlineStr">
        <is>
          <t>Adv RAG + LangGraph</t>
        </is>
      </c>
      <c r="C289" s="27" t="inlineStr">
        <is>
          <t>Bank of America</t>
        </is>
      </c>
      <c r="D289" s="25" t="n"/>
      <c r="E289" s="25" t="n"/>
      <c r="F289" s="21" t="inlineStr">
        <is>
          <t>hallucination</t>
        </is>
      </c>
      <c r="G289" s="21" t="inlineStr">
        <is>
          <t>REFUSE</t>
        </is>
      </c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</row>
    <row r="290" ht="15.75" customHeight="1" s="66">
      <c r="A290" s="25" t="n">
        <v>87</v>
      </c>
      <c r="B290" s="26" t="inlineStr">
        <is>
          <t>Adv RAG + LangGraph</t>
        </is>
      </c>
      <c r="C290" s="27" t="inlineStr">
        <is>
          <t>Berkshire Hathaway</t>
        </is>
      </c>
      <c r="D290" s="25" t="n"/>
      <c r="E290" s="25" t="n"/>
      <c r="F290" s="21" t="inlineStr">
        <is>
          <t>hallucination</t>
        </is>
      </c>
      <c r="G290" s="21" t="inlineStr">
        <is>
          <t>REFUSE</t>
        </is>
      </c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</row>
    <row r="291" ht="15.75" customHeight="1" s="66">
      <c r="A291" s="25" t="n">
        <v>88</v>
      </c>
      <c r="B291" s="26" t="inlineStr">
        <is>
          <t>Adv RAG + LangGraph</t>
        </is>
      </c>
      <c r="C291" s="27" t="inlineStr">
        <is>
          <t>Berkshire Hathaway</t>
        </is>
      </c>
      <c r="D291" s="25" t="n"/>
      <c r="E291" s="25" t="n"/>
      <c r="F291" s="21" t="inlineStr">
        <is>
          <t>hallucination</t>
        </is>
      </c>
      <c r="G291" s="21" t="inlineStr">
        <is>
          <t>REFUSE</t>
        </is>
      </c>
      <c r="H291" s="18" t="n">
        <v>0</v>
      </c>
      <c r="I291" s="18" t="n">
        <v>0</v>
      </c>
      <c r="J291" s="18" t="n">
        <v>0</v>
      </c>
      <c r="K291" s="18" t="n">
        <v>1</v>
      </c>
      <c r="L291" s="18" t="n">
        <v>0</v>
      </c>
      <c r="M291" s="18" t="n">
        <v>0</v>
      </c>
      <c r="N291" s="18" t="n"/>
      <c r="O291" s="18" t="n">
        <v>0</v>
      </c>
      <c r="P291" s="18" t="n">
        <v>0</v>
      </c>
      <c r="Q291" s="18" t="n">
        <v>0</v>
      </c>
      <c r="R291" s="18" t="n">
        <v>0</v>
      </c>
    </row>
    <row r="292" ht="15.75" customHeight="1" s="66">
      <c r="A292" s="25" t="n">
        <v>89</v>
      </c>
      <c r="B292" s="26" t="inlineStr">
        <is>
          <t>Adv RAG + LangGraph</t>
        </is>
      </c>
      <c r="C292" s="27" t="inlineStr">
        <is>
          <t>Johnson &amp; Johnson</t>
        </is>
      </c>
      <c r="D292" s="25" t="n"/>
      <c r="E292" s="25" t="n"/>
      <c r="F292" s="21" t="inlineStr">
        <is>
          <t>hallucination</t>
        </is>
      </c>
      <c r="G292" s="21" t="inlineStr">
        <is>
          <t>REFUSE</t>
        </is>
      </c>
      <c r="H292" s="18" t="n">
        <v>0</v>
      </c>
      <c r="I292" s="18" t="n">
        <v>0</v>
      </c>
      <c r="J292" s="18" t="n">
        <v>0</v>
      </c>
      <c r="K292" s="18" t="n">
        <v>1</v>
      </c>
      <c r="L292" s="18" t="n">
        <v>0</v>
      </c>
      <c r="M292" s="18" t="n">
        <v>0</v>
      </c>
      <c r="N292" s="18" t="n"/>
      <c r="O292" s="18" t="n">
        <v>0</v>
      </c>
      <c r="P292" s="18" t="n">
        <v>0</v>
      </c>
      <c r="Q292" s="18" t="n">
        <v>0</v>
      </c>
      <c r="R292" s="18" t="n">
        <v>0</v>
      </c>
    </row>
    <row r="293" ht="15.75" customHeight="1" s="66">
      <c r="A293" s="25" t="n">
        <v>90</v>
      </c>
      <c r="B293" s="26" t="inlineStr">
        <is>
          <t>Adv RAG + LangGraph</t>
        </is>
      </c>
      <c r="C293" s="27" t="inlineStr">
        <is>
          <t>Johnson &amp; Johnson</t>
        </is>
      </c>
      <c r="D293" s="25" t="n"/>
      <c r="E293" s="25" t="n"/>
      <c r="F293" s="21" t="inlineStr">
        <is>
          <t>hallucination</t>
        </is>
      </c>
      <c r="G293" s="21" t="inlineStr">
        <is>
          <t>REFUSE</t>
        </is>
      </c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</row>
    <row r="294" ht="15.75" customHeight="1" s="66">
      <c r="A294" s="25" t="n">
        <v>91</v>
      </c>
      <c r="B294" s="26" t="inlineStr">
        <is>
          <t>Adv RAG + LangGraph</t>
        </is>
      </c>
      <c r="C294" s="27" t="inlineStr">
        <is>
          <t>UnitedHealth Group</t>
        </is>
      </c>
      <c r="D294" s="25" t="n"/>
      <c r="E294" s="25" t="n"/>
      <c r="F294" s="21" t="inlineStr">
        <is>
          <t>hallucination</t>
        </is>
      </c>
      <c r="G294" s="21" t="inlineStr">
        <is>
          <t>REFUSE</t>
        </is>
      </c>
      <c r="H294" s="18" t="n">
        <v>0</v>
      </c>
      <c r="I294" s="18" t="n">
        <v>0</v>
      </c>
      <c r="J294" s="18" t="n">
        <v>0</v>
      </c>
      <c r="K294" s="18" t="n">
        <v>1</v>
      </c>
      <c r="L294" s="18" t="n">
        <v>0</v>
      </c>
      <c r="M294" s="18" t="n">
        <v>0</v>
      </c>
      <c r="N294" s="18" t="n">
        <v/>
      </c>
      <c r="O294" s="18" t="n">
        <v>0</v>
      </c>
      <c r="P294" s="18" t="n">
        <v>0</v>
      </c>
      <c r="Q294" s="18" t="n">
        <v>0</v>
      </c>
      <c r="R294" s="18" t="n">
        <v>0</v>
      </c>
    </row>
    <row r="295" ht="15.75" customHeight="1" s="66">
      <c r="A295" s="25" t="n">
        <v>92</v>
      </c>
      <c r="B295" s="26" t="inlineStr">
        <is>
          <t>Adv RAG + LangGraph</t>
        </is>
      </c>
      <c r="C295" s="27" t="inlineStr">
        <is>
          <t>UnitedHealth Group</t>
        </is>
      </c>
      <c r="D295" s="25" t="n"/>
      <c r="E295" s="25" t="n"/>
      <c r="F295" s="21" t="inlineStr">
        <is>
          <t>hallucination</t>
        </is>
      </c>
      <c r="G295" s="21" t="inlineStr">
        <is>
          <t>REFUSE</t>
        </is>
      </c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</row>
    <row r="296" ht="15.75" customHeight="1" s="66">
      <c r="A296" s="25" t="n">
        <v>93</v>
      </c>
      <c r="B296" s="26" t="inlineStr">
        <is>
          <t>Adv RAG + LangGraph</t>
        </is>
      </c>
      <c r="C296" s="27" t="inlineStr">
        <is>
          <t>Exxon Mobil</t>
        </is>
      </c>
      <c r="D296" s="25" t="n"/>
      <c r="E296" s="25" t="n"/>
      <c r="F296" s="21" t="inlineStr">
        <is>
          <t>hallucination</t>
        </is>
      </c>
      <c r="G296" s="21" t="inlineStr">
        <is>
          <t>REFUSE</t>
        </is>
      </c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</row>
    <row r="297" ht="15.75" customHeight="1" s="66">
      <c r="A297" s="25" t="n">
        <v>94</v>
      </c>
      <c r="B297" s="26" t="inlineStr">
        <is>
          <t>Adv RAG + LangGraph</t>
        </is>
      </c>
      <c r="C297" s="27" t="inlineStr">
        <is>
          <t>Exxon Mobil</t>
        </is>
      </c>
      <c r="D297" s="25" t="n"/>
      <c r="E297" s="25" t="n"/>
      <c r="F297" s="21" t="inlineStr">
        <is>
          <t>hallucination</t>
        </is>
      </c>
      <c r="G297" s="21" t="inlineStr">
        <is>
          <t>REFUSE</t>
        </is>
      </c>
      <c r="H297" s="18" t="n">
        <v>0</v>
      </c>
      <c r="I297" s="18" t="n">
        <v>0</v>
      </c>
      <c r="J297" s="18" t="n">
        <v>0</v>
      </c>
      <c r="K297" s="18" t="n">
        <v>1</v>
      </c>
      <c r="L297" s="18" t="n">
        <v>0</v>
      </c>
      <c r="M297" s="18" t="n">
        <v>0</v>
      </c>
      <c r="N297" s="18" t="n"/>
      <c r="O297" s="18" t="n">
        <v>0</v>
      </c>
      <c r="P297" s="18" t="n">
        <v>0</v>
      </c>
      <c r="Q297" s="18" t="n">
        <v>0</v>
      </c>
      <c r="R297" s="18" t="n">
        <v>0</v>
      </c>
    </row>
    <row r="298" ht="15.75" customHeight="1" s="66">
      <c r="A298" s="25" t="n">
        <v>95</v>
      </c>
      <c r="B298" s="26" t="inlineStr">
        <is>
          <t>Adv RAG + LangGraph</t>
        </is>
      </c>
      <c r="C298" s="27" t="inlineStr">
        <is>
          <t>Chevron</t>
        </is>
      </c>
      <c r="D298" s="25" t="n"/>
      <c r="E298" s="25" t="n"/>
      <c r="F298" s="21" t="inlineStr">
        <is>
          <t>hallucination</t>
        </is>
      </c>
      <c r="G298" s="21" t="inlineStr">
        <is>
          <t>REFUSE</t>
        </is>
      </c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</row>
    <row r="299" ht="15.75" customHeight="1" s="66">
      <c r="A299" s="25" t="n">
        <v>96</v>
      </c>
      <c r="B299" s="26" t="inlineStr">
        <is>
          <t>Adv RAG + LangGraph</t>
        </is>
      </c>
      <c r="C299" s="27" t="inlineStr">
        <is>
          <t>Chevron</t>
        </is>
      </c>
      <c r="D299" s="25" t="n"/>
      <c r="E299" s="25" t="n"/>
      <c r="F299" s="21" t="inlineStr">
        <is>
          <t>hallucination</t>
        </is>
      </c>
      <c r="G299" s="21" t="inlineStr">
        <is>
          <t>REFUSE</t>
        </is>
      </c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</row>
    <row r="300" ht="15.75" customHeight="1" s="66">
      <c r="A300" s="25" t="n">
        <v>97</v>
      </c>
      <c r="B300" s="26" t="inlineStr">
        <is>
          <t>Adv RAG + LangGraph</t>
        </is>
      </c>
      <c r="C300" s="27" t="inlineStr">
        <is>
          <t>Walmart</t>
        </is>
      </c>
      <c r="D300" s="25" t="n"/>
      <c r="E300" s="25" t="n"/>
      <c r="F300" s="21" t="inlineStr">
        <is>
          <t>hallucination</t>
        </is>
      </c>
      <c r="G300" s="21" t="inlineStr">
        <is>
          <t>REFUSE</t>
        </is>
      </c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</row>
    <row r="301" ht="15.75" customHeight="1" s="66">
      <c r="A301" s="25" t="n">
        <v>98</v>
      </c>
      <c r="B301" s="26" t="inlineStr">
        <is>
          <t>Adv RAG + LangGraph</t>
        </is>
      </c>
      <c r="C301" s="27" t="inlineStr">
        <is>
          <t>Walmart</t>
        </is>
      </c>
      <c r="D301" s="25" t="n"/>
      <c r="E301" s="25" t="n"/>
      <c r="F301" s="21" t="inlineStr">
        <is>
          <t>hallucination</t>
        </is>
      </c>
      <c r="G301" s="21" t="inlineStr">
        <is>
          <t>REFUSE</t>
        </is>
      </c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</row>
    <row r="302" ht="15.75" customHeight="1" s="66">
      <c r="A302" s="25" t="n">
        <v>99</v>
      </c>
      <c r="B302" s="26" t="inlineStr">
        <is>
          <t>Adv RAG + LangGraph</t>
        </is>
      </c>
      <c r="C302" s="27" t="inlineStr">
        <is>
          <t>Costco</t>
        </is>
      </c>
      <c r="D302" s="25" t="n"/>
      <c r="E302" s="25" t="n"/>
      <c r="F302" s="21" t="inlineStr">
        <is>
          <t>hallucination</t>
        </is>
      </c>
      <c r="G302" s="21" t="inlineStr">
        <is>
          <t>REFUSE</t>
        </is>
      </c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</row>
    <row r="303" ht="15.75" customHeight="1" s="66">
      <c r="A303" s="25" t="n">
        <v>100</v>
      </c>
      <c r="B303" s="26" t="inlineStr">
        <is>
          <t>Adv RAG + LangGraph</t>
        </is>
      </c>
      <c r="C303" s="27" t="inlineStr">
        <is>
          <t>Costco</t>
        </is>
      </c>
      <c r="D303" s="25" t="n"/>
      <c r="E303" s="25" t="n"/>
      <c r="F303" s="21" t="inlineStr">
        <is>
          <t>hallucination</t>
        </is>
      </c>
      <c r="G303" s="21" t="inlineStr">
        <is>
          <t>REFUSE</t>
        </is>
      </c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</row>
    <row r="304" ht="15.75" customHeight="1" s="66">
      <c r="A304" s="28" t="n">
        <v>1</v>
      </c>
      <c r="B304" s="29" t="inlineStr">
        <is>
          <t>Adv RAG + LlamaIndex</t>
        </is>
      </c>
      <c r="C304" s="30" t="inlineStr">
        <is>
          <t>Apple</t>
        </is>
      </c>
      <c r="D304" s="28" t="inlineStr">
        <is>
          <t>10-K</t>
        </is>
      </c>
      <c r="E304" s="28" t="n">
        <v>2023</v>
      </c>
      <c r="F304" s="16" t="inlineStr">
        <is>
          <t>extractive</t>
        </is>
      </c>
      <c r="G304" s="17" t="inlineStr">
        <is>
          <t>ANSWER</t>
        </is>
      </c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</row>
    <row r="305" ht="15.75" customHeight="1" s="66">
      <c r="A305" s="28" t="n">
        <v>2</v>
      </c>
      <c r="B305" s="29" t="inlineStr">
        <is>
          <t>Adv RAG + LlamaIndex</t>
        </is>
      </c>
      <c r="C305" s="30" t="inlineStr">
        <is>
          <t>Apple</t>
        </is>
      </c>
      <c r="D305" s="28" t="inlineStr">
        <is>
          <t>10-Q</t>
        </is>
      </c>
      <c r="E305" s="28" t="n">
        <v>2025</v>
      </c>
      <c r="F305" s="16" t="inlineStr">
        <is>
          <t>extractive</t>
        </is>
      </c>
      <c r="G305" s="17" t="inlineStr">
        <is>
          <t>ANSWER</t>
        </is>
      </c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</row>
    <row r="306" ht="15.75" customHeight="1" s="66">
      <c r="A306" s="28" t="n">
        <v>3</v>
      </c>
      <c r="B306" s="29" t="inlineStr">
        <is>
          <t>Adv RAG + LlamaIndex</t>
        </is>
      </c>
      <c r="C306" s="30" t="inlineStr">
        <is>
          <t>Microsoft</t>
        </is>
      </c>
      <c r="D306" s="28" t="inlineStr">
        <is>
          <t>10-Q</t>
        </is>
      </c>
      <c r="E306" s="28" t="n">
        <v>2023</v>
      </c>
      <c r="F306" s="16" t="inlineStr">
        <is>
          <t>extractive</t>
        </is>
      </c>
      <c r="G306" s="17" t="inlineStr">
        <is>
          <t>ANSWER</t>
        </is>
      </c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</row>
    <row r="307" ht="15.75" customHeight="1" s="66">
      <c r="A307" s="28" t="n">
        <v>4</v>
      </c>
      <c r="B307" s="29" t="inlineStr">
        <is>
          <t>Adv RAG + LlamaIndex</t>
        </is>
      </c>
      <c r="C307" s="30" t="inlineStr">
        <is>
          <t>Microsoft</t>
        </is>
      </c>
      <c r="D307" s="28" t="inlineStr">
        <is>
          <t>10-K</t>
        </is>
      </c>
      <c r="E307" s="28" t="n">
        <v>2023</v>
      </c>
      <c r="F307" s="16" t="inlineStr">
        <is>
          <t>extractive</t>
        </is>
      </c>
      <c r="G307" s="17" t="inlineStr">
        <is>
          <t>ANSWER</t>
        </is>
      </c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</row>
    <row r="308" ht="15.75" customHeight="1" s="66">
      <c r="A308" s="28" t="n">
        <v>5</v>
      </c>
      <c r="B308" s="29" t="inlineStr">
        <is>
          <t>Adv RAG + LlamaIndex</t>
        </is>
      </c>
      <c r="C308" s="30" t="inlineStr">
        <is>
          <t>NVIDIA</t>
        </is>
      </c>
      <c r="D308" s="28" t="inlineStr">
        <is>
          <t>10-K</t>
        </is>
      </c>
      <c r="E308" s="28" t="n">
        <v>2025</v>
      </c>
      <c r="F308" s="16" t="inlineStr">
        <is>
          <t>extractive</t>
        </is>
      </c>
      <c r="G308" s="17" t="inlineStr">
        <is>
          <t>ANSWER</t>
        </is>
      </c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</row>
    <row r="309" ht="15.75" customHeight="1" s="66">
      <c r="A309" s="28" t="n">
        <v>6</v>
      </c>
      <c r="B309" s="29" t="inlineStr">
        <is>
          <t>Adv RAG + LlamaIndex</t>
        </is>
      </c>
      <c r="C309" s="30" t="inlineStr">
        <is>
          <t>NVIDIA</t>
        </is>
      </c>
      <c r="D309" s="28" t="inlineStr">
        <is>
          <t>10-K</t>
        </is>
      </c>
      <c r="E309" s="28" t="n">
        <v>2024</v>
      </c>
      <c r="F309" s="16" t="inlineStr">
        <is>
          <t>extractive</t>
        </is>
      </c>
      <c r="G309" s="17" t="inlineStr">
        <is>
          <t>ANSWER</t>
        </is>
      </c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</row>
    <row r="310" ht="15.75" customHeight="1" s="66">
      <c r="A310" s="28" t="n">
        <v>7</v>
      </c>
      <c r="B310" s="29" t="inlineStr">
        <is>
          <t>Adv RAG + LlamaIndex</t>
        </is>
      </c>
      <c r="C310" s="30" t="inlineStr">
        <is>
          <t>NVIDIA</t>
        </is>
      </c>
      <c r="D310" s="28" t="inlineStr">
        <is>
          <t>10-K</t>
        </is>
      </c>
      <c r="E310" s="28" t="n">
        <v>2025</v>
      </c>
      <c r="F310" s="16" t="inlineStr">
        <is>
          <t>extractive</t>
        </is>
      </c>
      <c r="G310" s="17" t="inlineStr">
        <is>
          <t>ANSWER</t>
        </is>
      </c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</row>
    <row r="311" ht="15.75" customHeight="1" s="66">
      <c r="A311" s="28" t="n">
        <v>8</v>
      </c>
      <c r="B311" s="29" t="inlineStr">
        <is>
          <t>Adv RAG + LlamaIndex</t>
        </is>
      </c>
      <c r="C311" s="30" t="inlineStr">
        <is>
          <t>JPMorgan Chase</t>
        </is>
      </c>
      <c r="D311" s="28" t="inlineStr">
        <is>
          <t>10-K</t>
        </is>
      </c>
      <c r="E311" s="28" t="n">
        <v>2023</v>
      </c>
      <c r="F311" s="16" t="inlineStr">
        <is>
          <t>extractive</t>
        </is>
      </c>
      <c r="G311" s="17" t="inlineStr">
        <is>
          <t>ANSWER</t>
        </is>
      </c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</row>
    <row r="312" ht="15.75" customHeight="1" s="66">
      <c r="A312" s="28" t="n">
        <v>9</v>
      </c>
      <c r="B312" s="29" t="inlineStr">
        <is>
          <t>Adv RAG + LlamaIndex</t>
        </is>
      </c>
      <c r="C312" s="30" t="inlineStr">
        <is>
          <t>JPMorgan Chase</t>
        </is>
      </c>
      <c r="D312" s="28" t="inlineStr">
        <is>
          <t>10-K</t>
        </is>
      </c>
      <c r="E312" s="28" t="n">
        <v>2024</v>
      </c>
      <c r="F312" s="16" t="inlineStr">
        <is>
          <t>extractive</t>
        </is>
      </c>
      <c r="G312" s="17" t="inlineStr">
        <is>
          <t>ANSWER</t>
        </is>
      </c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</row>
    <row r="313" ht="15.75" customHeight="1" s="66">
      <c r="A313" s="28" t="n">
        <v>10</v>
      </c>
      <c r="B313" s="29" t="inlineStr">
        <is>
          <t>Adv RAG + LlamaIndex</t>
        </is>
      </c>
      <c r="C313" s="30" t="inlineStr">
        <is>
          <t>Bank of America</t>
        </is>
      </c>
      <c r="D313" s="28" t="inlineStr">
        <is>
          <t>10-Q</t>
        </is>
      </c>
      <c r="E313" s="28" t="n">
        <v>2025</v>
      </c>
      <c r="F313" s="16" t="inlineStr">
        <is>
          <t>extractive</t>
        </is>
      </c>
      <c r="G313" s="17" t="inlineStr">
        <is>
          <t>ANSWER</t>
        </is>
      </c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</row>
    <row r="314" ht="15.75" customHeight="1" s="66">
      <c r="A314" s="28" t="n">
        <v>11</v>
      </c>
      <c r="B314" s="29" t="inlineStr">
        <is>
          <t>Adv RAG + LlamaIndex</t>
        </is>
      </c>
      <c r="C314" s="30" t="inlineStr">
        <is>
          <t>Bank of America</t>
        </is>
      </c>
      <c r="D314" s="28" t="inlineStr">
        <is>
          <t>10-K</t>
        </is>
      </c>
      <c r="E314" s="28" t="n">
        <v>2024</v>
      </c>
      <c r="F314" s="16" t="inlineStr">
        <is>
          <t>extractive</t>
        </is>
      </c>
      <c r="G314" s="17" t="inlineStr">
        <is>
          <t>ANSWER</t>
        </is>
      </c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</row>
    <row r="315" ht="15.75" customHeight="1" s="66">
      <c r="A315" s="28" t="n">
        <v>12</v>
      </c>
      <c r="B315" s="29" t="inlineStr">
        <is>
          <t>Adv RAG + LlamaIndex</t>
        </is>
      </c>
      <c r="C315" s="30" t="inlineStr">
        <is>
          <t>Berkshire Hathaway</t>
        </is>
      </c>
      <c r="D315" s="28" t="inlineStr">
        <is>
          <t>10-K</t>
        </is>
      </c>
      <c r="E315" s="28" t="n">
        <v>2025</v>
      </c>
      <c r="F315" s="16" t="inlineStr">
        <is>
          <t>extractive</t>
        </is>
      </c>
      <c r="G315" s="17" t="inlineStr">
        <is>
          <t>ANSWER</t>
        </is>
      </c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</row>
    <row r="316" ht="15.75" customHeight="1" s="66">
      <c r="A316" s="28" t="n">
        <v>13</v>
      </c>
      <c r="B316" s="29" t="inlineStr">
        <is>
          <t>Adv RAG + LlamaIndex</t>
        </is>
      </c>
      <c r="C316" s="30" t="inlineStr">
        <is>
          <t>Berkshire Hathaway</t>
        </is>
      </c>
      <c r="D316" s="28" t="inlineStr">
        <is>
          <t>10-Q</t>
        </is>
      </c>
      <c r="E316" s="28" t="n">
        <v>2023</v>
      </c>
      <c r="F316" s="16" t="inlineStr">
        <is>
          <t>extractive</t>
        </is>
      </c>
      <c r="G316" s="17" t="inlineStr">
        <is>
          <t>ANSWER</t>
        </is>
      </c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</row>
    <row r="317" ht="15.75" customHeight="1" s="66">
      <c r="A317" s="28" t="n">
        <v>14</v>
      </c>
      <c r="B317" s="29" t="inlineStr">
        <is>
          <t>Adv RAG + LlamaIndex</t>
        </is>
      </c>
      <c r="C317" s="30" t="inlineStr">
        <is>
          <t>Johnson &amp; Johnson</t>
        </is>
      </c>
      <c r="D317" s="28" t="inlineStr">
        <is>
          <t>10-Q</t>
        </is>
      </c>
      <c r="E317" s="28" t="n">
        <v>2025</v>
      </c>
      <c r="F317" s="16" t="inlineStr">
        <is>
          <t>extractive</t>
        </is>
      </c>
      <c r="G317" s="17" t="inlineStr">
        <is>
          <t>ANSWER</t>
        </is>
      </c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</row>
    <row r="318" ht="15.75" customHeight="1" s="66">
      <c r="A318" s="28" t="n">
        <v>15</v>
      </c>
      <c r="B318" s="29" t="inlineStr">
        <is>
          <t>Adv RAG + LlamaIndex</t>
        </is>
      </c>
      <c r="C318" s="30" t="inlineStr">
        <is>
          <t>Johnson &amp; Johnson</t>
        </is>
      </c>
      <c r="D318" s="28" t="inlineStr">
        <is>
          <t>10-K</t>
        </is>
      </c>
      <c r="E318" s="28" t="n">
        <v>2025</v>
      </c>
      <c r="F318" s="16" t="inlineStr">
        <is>
          <t>extractive</t>
        </is>
      </c>
      <c r="G318" s="17" t="inlineStr">
        <is>
          <t>ANSWER</t>
        </is>
      </c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</row>
    <row r="319" ht="15.75" customHeight="1" s="66">
      <c r="A319" s="28" t="n">
        <v>16</v>
      </c>
      <c r="B319" s="29" t="inlineStr">
        <is>
          <t>Adv RAG + LlamaIndex</t>
        </is>
      </c>
      <c r="C319" s="30" t="inlineStr">
        <is>
          <t>UnitedHealth Group</t>
        </is>
      </c>
      <c r="D319" s="28" t="inlineStr">
        <is>
          <t>10-Q</t>
        </is>
      </c>
      <c r="E319" s="28" t="n">
        <v>2024</v>
      </c>
      <c r="F319" s="16" t="inlineStr">
        <is>
          <t>extractive</t>
        </is>
      </c>
      <c r="G319" s="17" t="inlineStr">
        <is>
          <t>ANSWER</t>
        </is>
      </c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</row>
    <row r="320" ht="15.75" customHeight="1" s="66">
      <c r="A320" s="28" t="n">
        <v>17</v>
      </c>
      <c r="B320" s="29" t="inlineStr">
        <is>
          <t>Adv RAG + LlamaIndex</t>
        </is>
      </c>
      <c r="C320" s="30" t="inlineStr">
        <is>
          <t>UnitedHealth Group</t>
        </is>
      </c>
      <c r="D320" s="28" t="inlineStr">
        <is>
          <t>10-K</t>
        </is>
      </c>
      <c r="E320" s="28" t="n">
        <v>2023</v>
      </c>
      <c r="F320" s="16" t="inlineStr">
        <is>
          <t>extractive</t>
        </is>
      </c>
      <c r="G320" s="17" t="inlineStr">
        <is>
          <t>ANSWER</t>
        </is>
      </c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</row>
    <row r="321" ht="15.75" customHeight="1" s="66">
      <c r="A321" s="28" t="n">
        <v>18</v>
      </c>
      <c r="B321" s="29" t="inlineStr">
        <is>
          <t>Adv RAG + LlamaIndex</t>
        </is>
      </c>
      <c r="C321" s="30" t="inlineStr">
        <is>
          <t>Exxon Mobil</t>
        </is>
      </c>
      <c r="D321" s="28" t="inlineStr">
        <is>
          <t>10-K</t>
        </is>
      </c>
      <c r="E321" s="28" t="n">
        <v>2023</v>
      </c>
      <c r="F321" s="16" t="inlineStr">
        <is>
          <t>extractive</t>
        </is>
      </c>
      <c r="G321" s="17" t="inlineStr">
        <is>
          <t>ANSWER</t>
        </is>
      </c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</row>
    <row r="322" ht="15.75" customHeight="1" s="66">
      <c r="A322" s="28" t="n">
        <v>19</v>
      </c>
      <c r="B322" s="29" t="inlineStr">
        <is>
          <t>Adv RAG + LlamaIndex</t>
        </is>
      </c>
      <c r="C322" s="30" t="inlineStr">
        <is>
          <t>Exxon Mobil</t>
        </is>
      </c>
      <c r="D322" s="28" t="inlineStr">
        <is>
          <t>10-Q</t>
        </is>
      </c>
      <c r="E322" s="28" t="n">
        <v>2025</v>
      </c>
      <c r="F322" s="16" t="inlineStr">
        <is>
          <t>extractive</t>
        </is>
      </c>
      <c r="G322" s="17" t="inlineStr">
        <is>
          <t>ANSWER</t>
        </is>
      </c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</row>
    <row r="323" ht="15.75" customHeight="1" s="66">
      <c r="A323" s="28" t="n">
        <v>20</v>
      </c>
      <c r="B323" s="29" t="inlineStr">
        <is>
          <t>Adv RAG + LlamaIndex</t>
        </is>
      </c>
      <c r="C323" s="30" t="inlineStr">
        <is>
          <t>Chevron</t>
        </is>
      </c>
      <c r="D323" s="28" t="inlineStr">
        <is>
          <t>10-Q</t>
        </is>
      </c>
      <c r="E323" s="28" t="n">
        <v>2024</v>
      </c>
      <c r="F323" s="16" t="inlineStr">
        <is>
          <t>extractive</t>
        </is>
      </c>
      <c r="G323" s="17" t="inlineStr">
        <is>
          <t>ANSWER</t>
        </is>
      </c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</row>
    <row r="324" ht="15.75" customHeight="1" s="66">
      <c r="A324" s="28" t="n">
        <v>21</v>
      </c>
      <c r="B324" s="29" t="inlineStr">
        <is>
          <t>Adv RAG + LlamaIndex</t>
        </is>
      </c>
      <c r="C324" s="30" t="inlineStr">
        <is>
          <t>Chevron</t>
        </is>
      </c>
      <c r="D324" s="28" t="inlineStr">
        <is>
          <t>10-K</t>
        </is>
      </c>
      <c r="E324" s="28" t="n">
        <v>2025</v>
      </c>
      <c r="F324" s="16" t="inlineStr">
        <is>
          <t>extractive</t>
        </is>
      </c>
      <c r="G324" s="17" t="inlineStr">
        <is>
          <t>ANSWER</t>
        </is>
      </c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</row>
    <row r="325" ht="15.75" customHeight="1" s="66">
      <c r="A325" s="28" t="n">
        <v>22</v>
      </c>
      <c r="B325" s="29" t="inlineStr">
        <is>
          <t>Adv RAG + LlamaIndex</t>
        </is>
      </c>
      <c r="C325" s="30" t="inlineStr">
        <is>
          <t>Walmart</t>
        </is>
      </c>
      <c r="D325" s="28" t="inlineStr">
        <is>
          <t>10-Q</t>
        </is>
      </c>
      <c r="E325" s="28" t="n">
        <v>2023</v>
      </c>
      <c r="F325" s="16" t="inlineStr">
        <is>
          <t>extractive</t>
        </is>
      </c>
      <c r="G325" s="17" t="inlineStr">
        <is>
          <t>ANSWER</t>
        </is>
      </c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</row>
    <row r="326" ht="15.75" customHeight="1" s="66">
      <c r="A326" s="28" t="n">
        <v>23</v>
      </c>
      <c r="B326" s="29" t="inlineStr">
        <is>
          <t>Adv RAG + LlamaIndex</t>
        </is>
      </c>
      <c r="C326" s="30" t="inlineStr">
        <is>
          <t>Walmart</t>
        </is>
      </c>
      <c r="D326" s="28" t="inlineStr">
        <is>
          <t>10-K</t>
        </is>
      </c>
      <c r="E326" s="28" t="n">
        <v>2024</v>
      </c>
      <c r="F326" s="16" t="inlineStr">
        <is>
          <t>extractive</t>
        </is>
      </c>
      <c r="G326" s="17" t="inlineStr">
        <is>
          <t>ANSWER</t>
        </is>
      </c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</row>
    <row r="327" ht="15.75" customHeight="1" s="66">
      <c r="A327" s="28" t="n">
        <v>24</v>
      </c>
      <c r="B327" s="29" t="inlineStr">
        <is>
          <t>Adv RAG + LlamaIndex</t>
        </is>
      </c>
      <c r="C327" s="30" t="inlineStr">
        <is>
          <t>Costco</t>
        </is>
      </c>
      <c r="D327" s="28" t="inlineStr">
        <is>
          <t>10-K</t>
        </is>
      </c>
      <c r="E327" s="28" t="n">
        <v>2025</v>
      </c>
      <c r="F327" s="16" t="inlineStr">
        <is>
          <t>extractive</t>
        </is>
      </c>
      <c r="G327" s="17" t="inlineStr">
        <is>
          <t>ANSWER</t>
        </is>
      </c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</row>
    <row r="328" ht="15.75" customHeight="1" s="66">
      <c r="A328" s="28" t="n">
        <v>25</v>
      </c>
      <c r="B328" s="29" t="inlineStr">
        <is>
          <t>Adv RAG + LlamaIndex</t>
        </is>
      </c>
      <c r="C328" s="30" t="inlineStr">
        <is>
          <t>Costco</t>
        </is>
      </c>
      <c r="D328" s="28" t="inlineStr">
        <is>
          <t>10-Q</t>
        </is>
      </c>
      <c r="E328" s="28" t="n">
        <v>2023</v>
      </c>
      <c r="F328" s="16" t="inlineStr">
        <is>
          <t>extractive</t>
        </is>
      </c>
      <c r="G328" s="17" t="inlineStr">
        <is>
          <t>ANSWER</t>
        </is>
      </c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</row>
    <row r="329" ht="15.75" customHeight="1" s="66">
      <c r="A329" s="28" t="n">
        <v>26</v>
      </c>
      <c r="B329" s="29" t="inlineStr">
        <is>
          <t>Adv RAG + LlamaIndex</t>
        </is>
      </c>
      <c r="C329" s="30" t="inlineStr">
        <is>
          <t>Apple</t>
        </is>
      </c>
      <c r="D329" s="28" t="inlineStr">
        <is>
          <t>10-K</t>
        </is>
      </c>
      <c r="E329" s="28" t="n">
        <v>2023</v>
      </c>
      <c r="F329" s="19" t="inlineStr">
        <is>
          <t>paraphrased</t>
        </is>
      </c>
      <c r="G329" s="17" t="inlineStr">
        <is>
          <t>ANSWER</t>
        </is>
      </c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</row>
    <row r="330" ht="15.75" customHeight="1" s="66">
      <c r="A330" s="28" t="n">
        <v>27</v>
      </c>
      <c r="B330" s="29" t="inlineStr">
        <is>
          <t>Adv RAG + LlamaIndex</t>
        </is>
      </c>
      <c r="C330" s="30" t="inlineStr">
        <is>
          <t>Apple</t>
        </is>
      </c>
      <c r="D330" s="28" t="inlineStr">
        <is>
          <t>10-Q</t>
        </is>
      </c>
      <c r="E330" s="28" t="n">
        <v>2025</v>
      </c>
      <c r="F330" s="19" t="inlineStr">
        <is>
          <t>paraphrased</t>
        </is>
      </c>
      <c r="G330" s="17" t="inlineStr">
        <is>
          <t>ANSWER</t>
        </is>
      </c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</row>
    <row r="331" ht="15.75" customHeight="1" s="66">
      <c r="A331" s="28" t="n">
        <v>28</v>
      </c>
      <c r="B331" s="29" t="inlineStr">
        <is>
          <t>Adv RAG + LlamaIndex</t>
        </is>
      </c>
      <c r="C331" s="30" t="inlineStr">
        <is>
          <t>Microsoft</t>
        </is>
      </c>
      <c r="D331" s="28" t="inlineStr">
        <is>
          <t>10-Q</t>
        </is>
      </c>
      <c r="E331" s="28" t="n">
        <v>2023</v>
      </c>
      <c r="F331" s="19" t="inlineStr">
        <is>
          <t>paraphrased</t>
        </is>
      </c>
      <c r="G331" s="17" t="inlineStr">
        <is>
          <t>ANSWER</t>
        </is>
      </c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</row>
    <row r="332" ht="15.75" customHeight="1" s="66">
      <c r="A332" s="28" t="n">
        <v>29</v>
      </c>
      <c r="B332" s="29" t="inlineStr">
        <is>
          <t>Adv RAG + LlamaIndex</t>
        </is>
      </c>
      <c r="C332" s="30" t="inlineStr">
        <is>
          <t>Microsoft</t>
        </is>
      </c>
      <c r="D332" s="28" t="inlineStr">
        <is>
          <t>10-K</t>
        </is>
      </c>
      <c r="E332" s="28" t="n">
        <v>2023</v>
      </c>
      <c r="F332" s="19" t="inlineStr">
        <is>
          <t>paraphrased</t>
        </is>
      </c>
      <c r="G332" s="17" t="inlineStr">
        <is>
          <t>ANSWER</t>
        </is>
      </c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</row>
    <row r="333" ht="15.75" customHeight="1" s="66">
      <c r="A333" s="28" t="n">
        <v>30</v>
      </c>
      <c r="B333" s="29" t="inlineStr">
        <is>
          <t>Adv RAG + LlamaIndex</t>
        </is>
      </c>
      <c r="C333" s="30" t="inlineStr">
        <is>
          <t>NVIDIA</t>
        </is>
      </c>
      <c r="D333" s="28" t="inlineStr">
        <is>
          <t>10-K</t>
        </is>
      </c>
      <c r="E333" s="28" t="n">
        <v>2025</v>
      </c>
      <c r="F333" s="19" t="inlineStr">
        <is>
          <t>paraphrased</t>
        </is>
      </c>
      <c r="G333" s="17" t="inlineStr">
        <is>
          <t>ANSWER</t>
        </is>
      </c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</row>
    <row r="334" ht="15.75" customHeight="1" s="66">
      <c r="A334" s="28" t="n">
        <v>31</v>
      </c>
      <c r="B334" s="29" t="inlineStr">
        <is>
          <t>Adv RAG + LlamaIndex</t>
        </is>
      </c>
      <c r="C334" s="30" t="inlineStr">
        <is>
          <t>NVIDIA</t>
        </is>
      </c>
      <c r="D334" s="28" t="inlineStr">
        <is>
          <t>10-K</t>
        </is>
      </c>
      <c r="E334" s="28" t="n">
        <v>2024</v>
      </c>
      <c r="F334" s="19" t="inlineStr">
        <is>
          <t>paraphrased</t>
        </is>
      </c>
      <c r="G334" s="17" t="inlineStr">
        <is>
          <t>ANSWER</t>
        </is>
      </c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</row>
    <row r="335" ht="15.75" customHeight="1" s="66">
      <c r="A335" s="28" t="n">
        <v>32</v>
      </c>
      <c r="B335" s="29" t="inlineStr">
        <is>
          <t>Adv RAG + LlamaIndex</t>
        </is>
      </c>
      <c r="C335" s="30" t="inlineStr">
        <is>
          <t>NVIDIA</t>
        </is>
      </c>
      <c r="D335" s="28" t="inlineStr">
        <is>
          <t>10-K</t>
        </is>
      </c>
      <c r="E335" s="28" t="n">
        <v>2025</v>
      </c>
      <c r="F335" s="19" t="inlineStr">
        <is>
          <t>paraphrased</t>
        </is>
      </c>
      <c r="G335" s="17" t="inlineStr">
        <is>
          <t>ANSWER</t>
        </is>
      </c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</row>
    <row r="336" ht="15.75" customHeight="1" s="66">
      <c r="A336" s="28" t="n">
        <v>33</v>
      </c>
      <c r="B336" s="29" t="inlineStr">
        <is>
          <t>Adv RAG + LlamaIndex</t>
        </is>
      </c>
      <c r="C336" s="30" t="inlineStr">
        <is>
          <t>JPMorgan Chase</t>
        </is>
      </c>
      <c r="D336" s="28" t="inlineStr">
        <is>
          <t>10-K</t>
        </is>
      </c>
      <c r="E336" s="28" t="n">
        <v>2023</v>
      </c>
      <c r="F336" s="19" t="inlineStr">
        <is>
          <t>paraphrased</t>
        </is>
      </c>
      <c r="G336" s="17" t="inlineStr">
        <is>
          <t>ANSWER</t>
        </is>
      </c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</row>
    <row r="337" ht="15.75" customHeight="1" s="66">
      <c r="A337" s="28" t="n">
        <v>34</v>
      </c>
      <c r="B337" s="29" t="inlineStr">
        <is>
          <t>Adv RAG + LlamaIndex</t>
        </is>
      </c>
      <c r="C337" s="30" t="inlineStr">
        <is>
          <t>JPMorgan Chase</t>
        </is>
      </c>
      <c r="D337" s="28" t="inlineStr">
        <is>
          <t>10-K</t>
        </is>
      </c>
      <c r="E337" s="28" t="n">
        <v>2024</v>
      </c>
      <c r="F337" s="19" t="inlineStr">
        <is>
          <t>paraphrased</t>
        </is>
      </c>
      <c r="G337" s="17" t="inlineStr">
        <is>
          <t>ANSWER</t>
        </is>
      </c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</row>
    <row r="338" ht="15.75" customHeight="1" s="66">
      <c r="A338" s="28" t="n">
        <v>35</v>
      </c>
      <c r="B338" s="29" t="inlineStr">
        <is>
          <t>Adv RAG + LlamaIndex</t>
        </is>
      </c>
      <c r="C338" s="30" t="inlineStr">
        <is>
          <t>Bank of America</t>
        </is>
      </c>
      <c r="D338" s="28" t="inlineStr">
        <is>
          <t>10-Q</t>
        </is>
      </c>
      <c r="E338" s="28" t="n">
        <v>2025</v>
      </c>
      <c r="F338" s="19" t="inlineStr">
        <is>
          <t>paraphrased</t>
        </is>
      </c>
      <c r="G338" s="17" t="inlineStr">
        <is>
          <t>ANSWER</t>
        </is>
      </c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</row>
    <row r="339" ht="15.75" customHeight="1" s="66">
      <c r="A339" s="28" t="n">
        <v>36</v>
      </c>
      <c r="B339" s="29" t="inlineStr">
        <is>
          <t>Adv RAG + LlamaIndex</t>
        </is>
      </c>
      <c r="C339" s="30" t="inlineStr">
        <is>
          <t>Bank of America</t>
        </is>
      </c>
      <c r="D339" s="28" t="inlineStr">
        <is>
          <t>10-K</t>
        </is>
      </c>
      <c r="E339" s="28" t="n">
        <v>2024</v>
      </c>
      <c r="F339" s="19" t="inlineStr">
        <is>
          <t>paraphrased</t>
        </is>
      </c>
      <c r="G339" s="17" t="inlineStr">
        <is>
          <t>ANSWER</t>
        </is>
      </c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</row>
    <row r="340" ht="15.75" customHeight="1" s="66">
      <c r="A340" s="28" t="n">
        <v>37</v>
      </c>
      <c r="B340" s="29" t="inlineStr">
        <is>
          <t>Adv RAG + LlamaIndex</t>
        </is>
      </c>
      <c r="C340" s="30" t="inlineStr">
        <is>
          <t>Berkshire Hathaway</t>
        </is>
      </c>
      <c r="D340" s="28" t="inlineStr">
        <is>
          <t>10-K</t>
        </is>
      </c>
      <c r="E340" s="28" t="n">
        <v>2025</v>
      </c>
      <c r="F340" s="19" t="inlineStr">
        <is>
          <t>paraphrased</t>
        </is>
      </c>
      <c r="G340" s="17" t="inlineStr">
        <is>
          <t>ANSWER</t>
        </is>
      </c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</row>
    <row r="341" ht="15.75" customHeight="1" s="66">
      <c r="A341" s="28" t="n">
        <v>38</v>
      </c>
      <c r="B341" s="29" t="inlineStr">
        <is>
          <t>Adv RAG + LlamaIndex</t>
        </is>
      </c>
      <c r="C341" s="30" t="inlineStr">
        <is>
          <t>Berkshire Hathaway</t>
        </is>
      </c>
      <c r="D341" s="28" t="inlineStr">
        <is>
          <t>10-Q</t>
        </is>
      </c>
      <c r="E341" s="28" t="n">
        <v>2023</v>
      </c>
      <c r="F341" s="19" t="inlineStr">
        <is>
          <t>paraphrased</t>
        </is>
      </c>
      <c r="G341" s="17" t="inlineStr">
        <is>
          <t>ANSWER</t>
        </is>
      </c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</row>
    <row r="342" ht="15.75" customHeight="1" s="66">
      <c r="A342" s="28" t="n">
        <v>39</v>
      </c>
      <c r="B342" s="29" t="inlineStr">
        <is>
          <t>Adv RAG + LlamaIndex</t>
        </is>
      </c>
      <c r="C342" s="30" t="inlineStr">
        <is>
          <t>Johnson &amp; Johnson</t>
        </is>
      </c>
      <c r="D342" s="28" t="inlineStr">
        <is>
          <t>10-Q</t>
        </is>
      </c>
      <c r="E342" s="28" t="n">
        <v>2025</v>
      </c>
      <c r="F342" s="19" t="inlineStr">
        <is>
          <t>paraphrased</t>
        </is>
      </c>
      <c r="G342" s="17" t="inlineStr">
        <is>
          <t>ANSWER</t>
        </is>
      </c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</row>
    <row r="343" ht="15.75" customHeight="1" s="66">
      <c r="A343" s="28" t="n">
        <v>40</v>
      </c>
      <c r="B343" s="29" t="inlineStr">
        <is>
          <t>Adv RAG + LlamaIndex</t>
        </is>
      </c>
      <c r="C343" s="30" t="inlineStr">
        <is>
          <t>Johnson &amp; Johnson</t>
        </is>
      </c>
      <c r="D343" s="28" t="inlineStr">
        <is>
          <t>10-K</t>
        </is>
      </c>
      <c r="E343" s="28" t="n">
        <v>2025</v>
      </c>
      <c r="F343" s="19" t="inlineStr">
        <is>
          <t>paraphrased</t>
        </is>
      </c>
      <c r="G343" s="17" t="inlineStr">
        <is>
          <t>ANSWER</t>
        </is>
      </c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</row>
    <row r="344" ht="15.75" customHeight="1" s="66">
      <c r="A344" s="28" t="n">
        <v>41</v>
      </c>
      <c r="B344" s="29" t="inlineStr">
        <is>
          <t>Adv RAG + LlamaIndex</t>
        </is>
      </c>
      <c r="C344" s="30" t="inlineStr">
        <is>
          <t>UnitedHealth Group</t>
        </is>
      </c>
      <c r="D344" s="28" t="inlineStr">
        <is>
          <t>10-Q</t>
        </is>
      </c>
      <c r="E344" s="28" t="n">
        <v>2024</v>
      </c>
      <c r="F344" s="19" t="inlineStr">
        <is>
          <t>paraphrased</t>
        </is>
      </c>
      <c r="G344" s="17" t="inlineStr">
        <is>
          <t>ANSWER</t>
        </is>
      </c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</row>
    <row r="345" ht="15.75" customHeight="1" s="66">
      <c r="A345" s="28" t="n">
        <v>42</v>
      </c>
      <c r="B345" s="29" t="inlineStr">
        <is>
          <t>Adv RAG + LlamaIndex</t>
        </is>
      </c>
      <c r="C345" s="30" t="inlineStr">
        <is>
          <t>UnitedHealth Group</t>
        </is>
      </c>
      <c r="D345" s="28" t="inlineStr">
        <is>
          <t>10-K</t>
        </is>
      </c>
      <c r="E345" s="28" t="n">
        <v>2023</v>
      </c>
      <c r="F345" s="19" t="inlineStr">
        <is>
          <t>paraphrased</t>
        </is>
      </c>
      <c r="G345" s="17" t="inlineStr">
        <is>
          <t>ANSWER</t>
        </is>
      </c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</row>
    <row r="346" ht="15.75" customHeight="1" s="66">
      <c r="A346" s="28" t="n">
        <v>43</v>
      </c>
      <c r="B346" s="29" t="inlineStr">
        <is>
          <t>Adv RAG + LlamaIndex</t>
        </is>
      </c>
      <c r="C346" s="30" t="inlineStr">
        <is>
          <t>Exxon Mobil</t>
        </is>
      </c>
      <c r="D346" s="28" t="inlineStr">
        <is>
          <t>10-K</t>
        </is>
      </c>
      <c r="E346" s="28" t="n">
        <v>2023</v>
      </c>
      <c r="F346" s="19" t="inlineStr">
        <is>
          <t>paraphrased</t>
        </is>
      </c>
      <c r="G346" s="17" t="inlineStr">
        <is>
          <t>ANSWER</t>
        </is>
      </c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</row>
    <row r="347" ht="15.75" customHeight="1" s="66">
      <c r="A347" s="28" t="n">
        <v>44</v>
      </c>
      <c r="B347" s="29" t="inlineStr">
        <is>
          <t>Adv RAG + LlamaIndex</t>
        </is>
      </c>
      <c r="C347" s="30" t="inlineStr">
        <is>
          <t>Exxon Mobil</t>
        </is>
      </c>
      <c r="D347" s="28" t="inlineStr">
        <is>
          <t>10-Q</t>
        </is>
      </c>
      <c r="E347" s="28" t="n">
        <v>2025</v>
      </c>
      <c r="F347" s="19" t="inlineStr">
        <is>
          <t>paraphrased</t>
        </is>
      </c>
      <c r="G347" s="17" t="inlineStr">
        <is>
          <t>ANSWER</t>
        </is>
      </c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</row>
    <row r="348" ht="15.75" customHeight="1" s="66">
      <c r="A348" s="28" t="n">
        <v>45</v>
      </c>
      <c r="B348" s="29" t="inlineStr">
        <is>
          <t>Adv RAG + LlamaIndex</t>
        </is>
      </c>
      <c r="C348" s="30" t="inlineStr">
        <is>
          <t>Chevron</t>
        </is>
      </c>
      <c r="D348" s="28" t="inlineStr">
        <is>
          <t>10-Q</t>
        </is>
      </c>
      <c r="E348" s="28" t="n">
        <v>2024</v>
      </c>
      <c r="F348" s="19" t="inlineStr">
        <is>
          <t>paraphrased</t>
        </is>
      </c>
      <c r="G348" s="17" t="inlineStr">
        <is>
          <t>ANSWER</t>
        </is>
      </c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</row>
    <row r="349" ht="15.75" customHeight="1" s="66">
      <c r="A349" s="28" t="n">
        <v>46</v>
      </c>
      <c r="B349" s="29" t="inlineStr">
        <is>
          <t>Adv RAG + LlamaIndex</t>
        </is>
      </c>
      <c r="C349" s="30" t="inlineStr">
        <is>
          <t>Chevron</t>
        </is>
      </c>
      <c r="D349" s="28" t="inlineStr">
        <is>
          <t>10-K</t>
        </is>
      </c>
      <c r="E349" s="28" t="n">
        <v>2025</v>
      </c>
      <c r="F349" s="19" t="inlineStr">
        <is>
          <t>paraphrased</t>
        </is>
      </c>
      <c r="G349" s="17" t="inlineStr">
        <is>
          <t>ANSWER</t>
        </is>
      </c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</row>
    <row r="350" ht="15.75" customHeight="1" s="66">
      <c r="A350" s="28" t="n">
        <v>47</v>
      </c>
      <c r="B350" s="29" t="inlineStr">
        <is>
          <t>Adv RAG + LlamaIndex</t>
        </is>
      </c>
      <c r="C350" s="30" t="inlineStr">
        <is>
          <t>Walmart</t>
        </is>
      </c>
      <c r="D350" s="28" t="inlineStr">
        <is>
          <t>10-Q</t>
        </is>
      </c>
      <c r="E350" s="28" t="n">
        <v>2025</v>
      </c>
      <c r="F350" s="19" t="inlineStr">
        <is>
          <t>paraphrased</t>
        </is>
      </c>
      <c r="G350" s="17" t="inlineStr">
        <is>
          <t>ANSWER</t>
        </is>
      </c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</row>
    <row r="351" ht="15.75" customHeight="1" s="66">
      <c r="A351" s="28" t="n">
        <v>48</v>
      </c>
      <c r="B351" s="29" t="inlineStr">
        <is>
          <t>Adv RAG + LlamaIndex</t>
        </is>
      </c>
      <c r="C351" s="30" t="inlineStr">
        <is>
          <t>Walmart</t>
        </is>
      </c>
      <c r="D351" s="28" t="inlineStr">
        <is>
          <t>10-K</t>
        </is>
      </c>
      <c r="E351" s="28" t="n">
        <v>2025</v>
      </c>
      <c r="F351" s="19" t="inlineStr">
        <is>
          <t>paraphrased</t>
        </is>
      </c>
      <c r="G351" s="17" t="inlineStr">
        <is>
          <t>ANSWER</t>
        </is>
      </c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</row>
    <row r="352" ht="15.75" customHeight="1" s="66">
      <c r="A352" s="28" t="n">
        <v>49</v>
      </c>
      <c r="B352" s="29" t="inlineStr">
        <is>
          <t>Adv RAG + LlamaIndex</t>
        </is>
      </c>
      <c r="C352" s="30" t="inlineStr">
        <is>
          <t>Costco</t>
        </is>
      </c>
      <c r="D352" s="28" t="inlineStr">
        <is>
          <t>10-K</t>
        </is>
      </c>
      <c r="E352" s="28" t="n">
        <v>2025</v>
      </c>
      <c r="F352" s="19" t="inlineStr">
        <is>
          <t>paraphrased</t>
        </is>
      </c>
      <c r="G352" s="17" t="inlineStr">
        <is>
          <t>ANSWER</t>
        </is>
      </c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</row>
    <row r="353" ht="15.75" customHeight="1" s="66">
      <c r="A353" s="28" t="n">
        <v>50</v>
      </c>
      <c r="B353" s="29" t="inlineStr">
        <is>
          <t>Adv RAG + LlamaIndex</t>
        </is>
      </c>
      <c r="C353" s="30" t="inlineStr">
        <is>
          <t>Costco</t>
        </is>
      </c>
      <c r="D353" s="28" t="inlineStr">
        <is>
          <t>10-Q</t>
        </is>
      </c>
      <c r="E353" s="28" t="n">
        <v>2023</v>
      </c>
      <c r="F353" s="19" t="inlineStr">
        <is>
          <t>paraphrased</t>
        </is>
      </c>
      <c r="G353" s="17" t="inlineStr">
        <is>
          <t>ANSWER</t>
        </is>
      </c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</row>
    <row r="354" ht="15.75" customHeight="1" s="66">
      <c r="A354" s="28" t="n">
        <v>51</v>
      </c>
      <c r="B354" s="29" t="inlineStr">
        <is>
          <t>Adv RAG + LlamaIndex</t>
        </is>
      </c>
      <c r="C354" s="30" t="inlineStr">
        <is>
          <t>Apple</t>
        </is>
      </c>
      <c r="D354" s="28" t="inlineStr">
        <is>
          <t>10-K</t>
        </is>
      </c>
      <c r="E354" s="28" t="n">
        <v>2023</v>
      </c>
      <c r="F354" s="17" t="inlineStr">
        <is>
          <t>reasoning</t>
        </is>
      </c>
      <c r="G354" s="17" t="inlineStr">
        <is>
          <t>ANSWER</t>
        </is>
      </c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</row>
    <row r="355" ht="15.75" customHeight="1" s="66">
      <c r="A355" s="28" t="n">
        <v>52</v>
      </c>
      <c r="B355" s="29" t="inlineStr">
        <is>
          <t>Adv RAG + LlamaIndex</t>
        </is>
      </c>
      <c r="C355" s="30" t="inlineStr">
        <is>
          <t>Apple</t>
        </is>
      </c>
      <c r="D355" s="28" t="inlineStr">
        <is>
          <t>10-Q</t>
        </is>
      </c>
      <c r="E355" s="28" t="n">
        <v>2025</v>
      </c>
      <c r="F355" s="17" t="inlineStr">
        <is>
          <t>reasoning</t>
        </is>
      </c>
      <c r="G355" s="17" t="inlineStr">
        <is>
          <t>ANSWER</t>
        </is>
      </c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</row>
    <row r="356" ht="15.75" customHeight="1" s="66">
      <c r="A356" s="28" t="n">
        <v>53</v>
      </c>
      <c r="B356" s="29" t="inlineStr">
        <is>
          <t>Adv RAG + LlamaIndex</t>
        </is>
      </c>
      <c r="C356" s="30" t="inlineStr">
        <is>
          <t>Microsoft</t>
        </is>
      </c>
      <c r="D356" s="28" t="inlineStr">
        <is>
          <t>10-K</t>
        </is>
      </c>
      <c r="E356" s="28" t="n">
        <v>2023</v>
      </c>
      <c r="F356" s="17" t="inlineStr">
        <is>
          <t>reasoning</t>
        </is>
      </c>
      <c r="G356" s="17" t="inlineStr">
        <is>
          <t>ANSWER</t>
        </is>
      </c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</row>
    <row r="357" ht="15.75" customHeight="1" s="66">
      <c r="A357" s="28" t="n">
        <v>54</v>
      </c>
      <c r="B357" s="29" t="inlineStr">
        <is>
          <t>Adv RAG + LlamaIndex</t>
        </is>
      </c>
      <c r="C357" s="30" t="inlineStr">
        <is>
          <t>Microsoft</t>
        </is>
      </c>
      <c r="D357" s="28" t="inlineStr">
        <is>
          <t>10-Q</t>
        </is>
      </c>
      <c r="E357" s="28" t="n">
        <v>2024</v>
      </c>
      <c r="F357" s="17" t="inlineStr">
        <is>
          <t>reasoning</t>
        </is>
      </c>
      <c r="G357" s="17" t="inlineStr">
        <is>
          <t>ANSWER</t>
        </is>
      </c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</row>
    <row r="358" ht="15.75" customHeight="1" s="66">
      <c r="A358" s="28" t="n">
        <v>55</v>
      </c>
      <c r="B358" s="29" t="inlineStr">
        <is>
          <t>Adv RAG + LlamaIndex</t>
        </is>
      </c>
      <c r="C358" s="30" t="inlineStr">
        <is>
          <t>NVIDIA</t>
        </is>
      </c>
      <c r="D358" s="28" t="inlineStr">
        <is>
          <t>10-K</t>
        </is>
      </c>
      <c r="E358" s="28" t="n">
        <v>2024</v>
      </c>
      <c r="F358" s="17" t="inlineStr">
        <is>
          <t>reasoning</t>
        </is>
      </c>
      <c r="G358" s="17" t="inlineStr">
        <is>
          <t>ANSWER</t>
        </is>
      </c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</row>
    <row r="359" ht="15.75" customHeight="1" s="66">
      <c r="A359" s="28" t="n">
        <v>56</v>
      </c>
      <c r="B359" s="29" t="inlineStr">
        <is>
          <t>Adv RAG + LlamaIndex</t>
        </is>
      </c>
      <c r="C359" s="30" t="inlineStr">
        <is>
          <t>NVIDIA</t>
        </is>
      </c>
      <c r="D359" s="28" t="inlineStr">
        <is>
          <t>10-Q</t>
        </is>
      </c>
      <c r="E359" s="28" t="n">
        <v>2025</v>
      </c>
      <c r="F359" s="17" t="inlineStr">
        <is>
          <t>reasoning</t>
        </is>
      </c>
      <c r="G359" s="17" t="inlineStr">
        <is>
          <t>ANSWER</t>
        </is>
      </c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</row>
    <row r="360" ht="15.75" customHeight="1" s="66">
      <c r="A360" s="28" t="n">
        <v>57</v>
      </c>
      <c r="B360" s="29" t="inlineStr">
        <is>
          <t>Adv RAG + LlamaIndex</t>
        </is>
      </c>
      <c r="C360" s="30" t="inlineStr">
        <is>
          <t>NVIDIA</t>
        </is>
      </c>
      <c r="D360" s="28" t="inlineStr">
        <is>
          <t>10-K</t>
        </is>
      </c>
      <c r="E360" s="28" t="n">
        <v>2024</v>
      </c>
      <c r="F360" s="17" t="inlineStr">
        <is>
          <t>reasoning</t>
        </is>
      </c>
      <c r="G360" s="17" t="inlineStr">
        <is>
          <t>ANSWER</t>
        </is>
      </c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</row>
    <row r="361" ht="15.75" customHeight="1" s="66">
      <c r="A361" s="28" t="n">
        <v>58</v>
      </c>
      <c r="B361" s="29" t="inlineStr">
        <is>
          <t>Adv RAG + LlamaIndex</t>
        </is>
      </c>
      <c r="C361" s="30" t="inlineStr">
        <is>
          <t>JPMorgan Chase</t>
        </is>
      </c>
      <c r="D361" s="28" t="inlineStr">
        <is>
          <t>10-K</t>
        </is>
      </c>
      <c r="E361" s="28" t="n">
        <v>2025</v>
      </c>
      <c r="F361" s="17" t="inlineStr">
        <is>
          <t>reasoning</t>
        </is>
      </c>
      <c r="G361" s="17" t="inlineStr">
        <is>
          <t>ANSWER</t>
        </is>
      </c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</row>
    <row r="362" ht="15.75" customHeight="1" s="66">
      <c r="A362" s="28" t="n">
        <v>59</v>
      </c>
      <c r="B362" s="29" t="inlineStr">
        <is>
          <t>Adv RAG + LlamaIndex</t>
        </is>
      </c>
      <c r="C362" s="30" t="inlineStr">
        <is>
          <t>JPMorgan Chase</t>
        </is>
      </c>
      <c r="D362" s="28" t="inlineStr">
        <is>
          <t>10-Q</t>
        </is>
      </c>
      <c r="E362" s="28" t="n">
        <v>2024</v>
      </c>
      <c r="F362" s="17" t="inlineStr">
        <is>
          <t>reasoning</t>
        </is>
      </c>
      <c r="G362" s="17" t="inlineStr">
        <is>
          <t>ANSWER</t>
        </is>
      </c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</row>
    <row r="363" ht="15.75" customHeight="1" s="66">
      <c r="A363" s="28" t="n">
        <v>60</v>
      </c>
      <c r="B363" s="29" t="inlineStr">
        <is>
          <t>Adv RAG + LlamaIndex</t>
        </is>
      </c>
      <c r="C363" s="30" t="inlineStr">
        <is>
          <t>Bank of America</t>
        </is>
      </c>
      <c r="D363" s="28" t="inlineStr">
        <is>
          <t>10-K</t>
        </is>
      </c>
      <c r="E363" s="28" t="n">
        <v>2025</v>
      </c>
      <c r="F363" s="17" t="inlineStr">
        <is>
          <t>reasoning</t>
        </is>
      </c>
      <c r="G363" s="17" t="inlineStr">
        <is>
          <t>ANSWER</t>
        </is>
      </c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</row>
    <row r="364" ht="15.75" customHeight="1" s="66">
      <c r="A364" s="28" t="n">
        <v>61</v>
      </c>
      <c r="B364" s="29" t="inlineStr">
        <is>
          <t>Adv RAG + LlamaIndex</t>
        </is>
      </c>
      <c r="C364" s="30" t="inlineStr">
        <is>
          <t>Bank of America</t>
        </is>
      </c>
      <c r="D364" s="28" t="inlineStr">
        <is>
          <t>10-Q</t>
        </is>
      </c>
      <c r="E364" s="28" t="n">
        <v>2025</v>
      </c>
      <c r="F364" s="17" t="inlineStr">
        <is>
          <t>reasoning</t>
        </is>
      </c>
      <c r="G364" s="17" t="inlineStr">
        <is>
          <t>ANSWER</t>
        </is>
      </c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</row>
    <row r="365" ht="15.75" customHeight="1" s="66">
      <c r="A365" s="28" t="n">
        <v>62</v>
      </c>
      <c r="B365" s="29" t="inlineStr">
        <is>
          <t>Adv RAG + LlamaIndex</t>
        </is>
      </c>
      <c r="C365" s="30" t="inlineStr">
        <is>
          <t>Berkshire Hathaway</t>
        </is>
      </c>
      <c r="D365" s="28" t="inlineStr">
        <is>
          <t>10-Q</t>
        </is>
      </c>
      <c r="E365" s="28" t="n">
        <v>2024</v>
      </c>
      <c r="F365" s="17" t="inlineStr">
        <is>
          <t>reasoning</t>
        </is>
      </c>
      <c r="G365" s="17" t="inlineStr">
        <is>
          <t>ANSWER</t>
        </is>
      </c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</row>
    <row r="366" ht="15.75" customHeight="1" s="66">
      <c r="A366" s="28" t="n">
        <v>63</v>
      </c>
      <c r="B366" s="29" t="inlineStr">
        <is>
          <t>Adv RAG + LlamaIndex</t>
        </is>
      </c>
      <c r="C366" s="30" t="inlineStr">
        <is>
          <t>Berkshire Hathaway</t>
        </is>
      </c>
      <c r="D366" s="28" t="inlineStr">
        <is>
          <t>10-K</t>
        </is>
      </c>
      <c r="E366" s="28" t="n">
        <v>2026</v>
      </c>
      <c r="F366" s="17" t="inlineStr">
        <is>
          <t>reasoning</t>
        </is>
      </c>
      <c r="G366" s="17" t="inlineStr">
        <is>
          <t>ANSWER</t>
        </is>
      </c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</row>
    <row r="367" ht="15.75" customHeight="1" s="66">
      <c r="A367" s="28" t="n">
        <v>64</v>
      </c>
      <c r="B367" s="29" t="inlineStr">
        <is>
          <t>Adv RAG + LlamaIndex</t>
        </is>
      </c>
      <c r="C367" s="30" t="inlineStr">
        <is>
          <t>Johnson &amp; Johnson</t>
        </is>
      </c>
      <c r="D367" s="28" t="inlineStr">
        <is>
          <t>10-K</t>
        </is>
      </c>
      <c r="E367" s="28" t="n">
        <v>2025</v>
      </c>
      <c r="F367" s="17" t="inlineStr">
        <is>
          <t>reasoning</t>
        </is>
      </c>
      <c r="G367" s="17" t="inlineStr">
        <is>
          <t>ANSWER</t>
        </is>
      </c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</row>
    <row r="368" ht="15.75" customHeight="1" s="66">
      <c r="A368" s="28" t="n">
        <v>65</v>
      </c>
      <c r="B368" s="29" t="inlineStr">
        <is>
          <t>Adv RAG + LlamaIndex</t>
        </is>
      </c>
      <c r="C368" s="30" t="inlineStr">
        <is>
          <t>Johnson &amp; Johnson</t>
        </is>
      </c>
      <c r="D368" s="28" t="inlineStr">
        <is>
          <t>10-Q</t>
        </is>
      </c>
      <c r="E368" s="28" t="n">
        <v>2023</v>
      </c>
      <c r="F368" s="17" t="inlineStr">
        <is>
          <t>reasoning</t>
        </is>
      </c>
      <c r="G368" s="17" t="inlineStr">
        <is>
          <t>ANSWER</t>
        </is>
      </c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</row>
    <row r="369" ht="15.75" customHeight="1" s="66">
      <c r="A369" s="28" t="n">
        <v>66</v>
      </c>
      <c r="B369" s="29" t="inlineStr">
        <is>
          <t>Adv RAG + LlamaIndex</t>
        </is>
      </c>
      <c r="C369" s="30" t="inlineStr">
        <is>
          <t>UnitedHealth Group</t>
        </is>
      </c>
      <c r="D369" s="28" t="inlineStr">
        <is>
          <t>10-K</t>
        </is>
      </c>
      <c r="E369" s="28" t="n">
        <v>2025</v>
      </c>
      <c r="F369" s="17" t="inlineStr">
        <is>
          <t>reasoning</t>
        </is>
      </c>
      <c r="G369" s="17" t="inlineStr">
        <is>
          <t>ANSWER</t>
        </is>
      </c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</row>
    <row r="370" ht="15.75" customHeight="1" s="66">
      <c r="A370" s="28" t="n">
        <v>67</v>
      </c>
      <c r="B370" s="29" t="inlineStr">
        <is>
          <t>Adv RAG + LlamaIndex</t>
        </is>
      </c>
      <c r="C370" s="30" t="inlineStr">
        <is>
          <t>UnitedHealth Group</t>
        </is>
      </c>
      <c r="D370" s="28" t="inlineStr">
        <is>
          <t>10-Q</t>
        </is>
      </c>
      <c r="E370" s="28" t="n">
        <v>2025</v>
      </c>
      <c r="F370" s="17" t="inlineStr">
        <is>
          <t>reasoning</t>
        </is>
      </c>
      <c r="G370" s="17" t="inlineStr">
        <is>
          <t>ANSWER</t>
        </is>
      </c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</row>
    <row r="371" ht="15.75" customHeight="1" s="66">
      <c r="A371" s="28" t="n">
        <v>68</v>
      </c>
      <c r="B371" s="29" t="inlineStr">
        <is>
          <t>Adv RAG + LlamaIndex</t>
        </is>
      </c>
      <c r="C371" s="30" t="inlineStr">
        <is>
          <t>Exxon Mobil</t>
        </is>
      </c>
      <c r="D371" s="28" t="inlineStr">
        <is>
          <t>10-K</t>
        </is>
      </c>
      <c r="E371" s="28" t="n">
        <v>2025</v>
      </c>
      <c r="F371" s="17" t="inlineStr">
        <is>
          <t>reasoning</t>
        </is>
      </c>
      <c r="G371" s="17" t="inlineStr">
        <is>
          <t>ANSWER</t>
        </is>
      </c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</row>
    <row r="372" ht="15.75" customHeight="1" s="66">
      <c r="A372" s="28" t="n">
        <v>69</v>
      </c>
      <c r="B372" s="29" t="inlineStr">
        <is>
          <t>Adv RAG + LlamaIndex</t>
        </is>
      </c>
      <c r="C372" s="30" t="inlineStr">
        <is>
          <t>Exxon Mobil</t>
        </is>
      </c>
      <c r="D372" s="28" t="inlineStr">
        <is>
          <t>10-Q</t>
        </is>
      </c>
      <c r="E372" s="28" t="n">
        <v>2024</v>
      </c>
      <c r="F372" s="17" t="inlineStr">
        <is>
          <t>reasoning</t>
        </is>
      </c>
      <c r="G372" s="17" t="inlineStr">
        <is>
          <t>ANSWER</t>
        </is>
      </c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</row>
    <row r="373" ht="15.75" customHeight="1" s="66">
      <c r="A373" s="28" t="n">
        <v>70</v>
      </c>
      <c r="B373" s="29" t="inlineStr">
        <is>
          <t>Adv RAG + LlamaIndex</t>
        </is>
      </c>
      <c r="C373" s="30" t="inlineStr">
        <is>
          <t>Chevron</t>
        </is>
      </c>
      <c r="D373" s="28" t="inlineStr">
        <is>
          <t>10-K</t>
        </is>
      </c>
      <c r="E373" s="28" t="n">
        <v>2025</v>
      </c>
      <c r="F373" s="17" t="inlineStr">
        <is>
          <t>reasoning</t>
        </is>
      </c>
      <c r="G373" s="17" t="inlineStr">
        <is>
          <t>ANSWER</t>
        </is>
      </c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</row>
    <row r="374" ht="15.75" customHeight="1" s="66">
      <c r="A374" s="28" t="n">
        <v>71</v>
      </c>
      <c r="B374" s="29" t="inlineStr">
        <is>
          <t>Adv RAG + LlamaIndex</t>
        </is>
      </c>
      <c r="C374" s="30" t="inlineStr">
        <is>
          <t>Chevron</t>
        </is>
      </c>
      <c r="D374" s="28" t="inlineStr">
        <is>
          <t>10-Q</t>
        </is>
      </c>
      <c r="E374" s="28" t="n">
        <v>2024</v>
      </c>
      <c r="F374" s="17" t="inlineStr">
        <is>
          <t>reasoning</t>
        </is>
      </c>
      <c r="G374" s="17" t="inlineStr">
        <is>
          <t>ANSWER</t>
        </is>
      </c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</row>
    <row r="375" ht="15.75" customHeight="1" s="66">
      <c r="A375" s="28" t="n">
        <v>72</v>
      </c>
      <c r="B375" s="29" t="inlineStr">
        <is>
          <t>Adv RAG + LlamaIndex</t>
        </is>
      </c>
      <c r="C375" s="30" t="inlineStr">
        <is>
          <t>Walmart</t>
        </is>
      </c>
      <c r="D375" s="28" t="inlineStr">
        <is>
          <t>10-K</t>
        </is>
      </c>
      <c r="E375" s="28" t="n">
        <v>2024</v>
      </c>
      <c r="F375" s="17" t="inlineStr">
        <is>
          <t>reasoning</t>
        </is>
      </c>
      <c r="G375" s="17" t="inlineStr">
        <is>
          <t>ANSWER</t>
        </is>
      </c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</row>
    <row r="376" ht="15.75" customHeight="1" s="66">
      <c r="A376" s="28" t="n">
        <v>73</v>
      </c>
      <c r="B376" s="29" t="inlineStr">
        <is>
          <t>Adv RAG + LlamaIndex</t>
        </is>
      </c>
      <c r="C376" s="30" t="inlineStr">
        <is>
          <t>Walmart</t>
        </is>
      </c>
      <c r="D376" s="28" t="inlineStr">
        <is>
          <t>10-Q</t>
        </is>
      </c>
      <c r="E376" s="28" t="n">
        <v>2025</v>
      </c>
      <c r="F376" s="17" t="inlineStr">
        <is>
          <t>reasoning</t>
        </is>
      </c>
      <c r="G376" s="17" t="inlineStr">
        <is>
          <t>ANSWER</t>
        </is>
      </c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</row>
    <row r="377" ht="15.75" customHeight="1" s="66">
      <c r="A377" s="28" t="n">
        <v>74</v>
      </c>
      <c r="B377" s="29" t="inlineStr">
        <is>
          <t>Adv RAG + LlamaIndex</t>
        </is>
      </c>
      <c r="C377" s="30" t="inlineStr">
        <is>
          <t>Costco</t>
        </is>
      </c>
      <c r="D377" s="28" t="inlineStr">
        <is>
          <t>10-Q</t>
        </is>
      </c>
      <c r="E377" s="28" t="n">
        <v>2025</v>
      </c>
      <c r="F377" s="17" t="inlineStr">
        <is>
          <t>reasoning</t>
        </is>
      </c>
      <c r="G377" s="17" t="inlineStr">
        <is>
          <t>ANSWER</t>
        </is>
      </c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</row>
    <row r="378" ht="15.75" customHeight="1" s="66">
      <c r="A378" s="28" t="n">
        <v>75</v>
      </c>
      <c r="B378" s="29" t="inlineStr">
        <is>
          <t>Adv RAG + LlamaIndex</t>
        </is>
      </c>
      <c r="C378" s="30" t="inlineStr">
        <is>
          <t>Costco</t>
        </is>
      </c>
      <c r="D378" s="28" t="inlineStr">
        <is>
          <t>10-Q</t>
        </is>
      </c>
      <c r="E378" s="28" t="n">
        <v>2024</v>
      </c>
      <c r="F378" s="17" t="inlineStr">
        <is>
          <t>reasoning</t>
        </is>
      </c>
      <c r="G378" s="17" t="inlineStr">
        <is>
          <t>ANSWER</t>
        </is>
      </c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</row>
    <row r="379" ht="15.75" customHeight="1" s="66">
      <c r="A379" s="28" t="n">
        <v>76</v>
      </c>
      <c r="B379" s="29" t="inlineStr">
        <is>
          <t>Adv RAG + LlamaIndex</t>
        </is>
      </c>
      <c r="C379" s="30" t="inlineStr">
        <is>
          <t>Apple</t>
        </is>
      </c>
      <c r="D379" s="28" t="n"/>
      <c r="E379" s="28" t="n"/>
      <c r="F379" s="21" t="inlineStr">
        <is>
          <t>hallucination</t>
        </is>
      </c>
      <c r="G379" s="21" t="inlineStr">
        <is>
          <t>REFUSE</t>
        </is>
      </c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</row>
    <row r="380" ht="15.75" customHeight="1" s="66">
      <c r="A380" s="28" t="n">
        <v>77</v>
      </c>
      <c r="B380" s="29" t="inlineStr">
        <is>
          <t>Adv RAG + LlamaIndex</t>
        </is>
      </c>
      <c r="C380" s="30" t="inlineStr">
        <is>
          <t>Apple</t>
        </is>
      </c>
      <c r="D380" s="28" t="n"/>
      <c r="E380" s="28" t="n"/>
      <c r="F380" s="21" t="inlineStr">
        <is>
          <t>hallucination</t>
        </is>
      </c>
      <c r="G380" s="21" t="inlineStr">
        <is>
          <t>REFUSE</t>
        </is>
      </c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</row>
    <row r="381" ht="15.75" customHeight="1" s="66">
      <c r="A381" s="28" t="n">
        <v>78</v>
      </c>
      <c r="B381" s="29" t="inlineStr">
        <is>
          <t>Adv RAG + LlamaIndex</t>
        </is>
      </c>
      <c r="C381" s="30" t="inlineStr">
        <is>
          <t>Microsoft</t>
        </is>
      </c>
      <c r="D381" s="28" t="n"/>
      <c r="E381" s="28" t="n"/>
      <c r="F381" s="21" t="inlineStr">
        <is>
          <t>hallucination</t>
        </is>
      </c>
      <c r="G381" s="21" t="inlineStr">
        <is>
          <t>REFUSE</t>
        </is>
      </c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</row>
    <row r="382" ht="15.75" customHeight="1" s="66">
      <c r="A382" s="28" t="n">
        <v>79</v>
      </c>
      <c r="B382" s="29" t="inlineStr">
        <is>
          <t>Adv RAG + LlamaIndex</t>
        </is>
      </c>
      <c r="C382" s="30" t="inlineStr">
        <is>
          <t>Microsoft</t>
        </is>
      </c>
      <c r="D382" s="28" t="n"/>
      <c r="E382" s="28" t="n"/>
      <c r="F382" s="21" t="inlineStr">
        <is>
          <t>hallucination</t>
        </is>
      </c>
      <c r="G382" s="21" t="inlineStr">
        <is>
          <t>REFUSE</t>
        </is>
      </c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</row>
    <row r="383" ht="15.75" customHeight="1" s="66">
      <c r="A383" s="28" t="n">
        <v>80</v>
      </c>
      <c r="B383" s="29" t="inlineStr">
        <is>
          <t>Adv RAG + LlamaIndex</t>
        </is>
      </c>
      <c r="C383" s="30" t="inlineStr">
        <is>
          <t>NVIDIA</t>
        </is>
      </c>
      <c r="D383" s="28" t="n"/>
      <c r="E383" s="28" t="n"/>
      <c r="F383" s="21" t="inlineStr">
        <is>
          <t>hallucination</t>
        </is>
      </c>
      <c r="G383" s="21" t="inlineStr">
        <is>
          <t>REFUSE</t>
        </is>
      </c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</row>
    <row r="384" ht="15.75" customHeight="1" s="66">
      <c r="A384" s="28" t="n">
        <v>81</v>
      </c>
      <c r="B384" s="29" t="inlineStr">
        <is>
          <t>Adv RAG + LlamaIndex</t>
        </is>
      </c>
      <c r="C384" s="30" t="inlineStr">
        <is>
          <t>NVIDIA</t>
        </is>
      </c>
      <c r="D384" s="28" t="n"/>
      <c r="E384" s="28" t="n"/>
      <c r="F384" s="21" t="inlineStr">
        <is>
          <t>hallucination</t>
        </is>
      </c>
      <c r="G384" s="21" t="inlineStr">
        <is>
          <t>REFUSE</t>
        </is>
      </c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</row>
    <row r="385" ht="15.75" customHeight="1" s="66">
      <c r="A385" s="28" t="n">
        <v>82</v>
      </c>
      <c r="B385" s="29" t="inlineStr">
        <is>
          <t>Adv RAG + LlamaIndex</t>
        </is>
      </c>
      <c r="C385" s="30" t="inlineStr">
        <is>
          <t>NVIDIA</t>
        </is>
      </c>
      <c r="D385" s="28" t="n"/>
      <c r="E385" s="28" t="n"/>
      <c r="F385" s="21" t="inlineStr">
        <is>
          <t>hallucination</t>
        </is>
      </c>
      <c r="G385" s="21" t="inlineStr">
        <is>
          <t>REFUSE</t>
        </is>
      </c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</row>
    <row r="386" ht="15.75" customHeight="1" s="66">
      <c r="A386" s="28" t="n">
        <v>83</v>
      </c>
      <c r="B386" s="29" t="inlineStr">
        <is>
          <t>Adv RAG + LlamaIndex</t>
        </is>
      </c>
      <c r="C386" s="30" t="inlineStr">
        <is>
          <t>JPMorgan Chase</t>
        </is>
      </c>
      <c r="D386" s="28" t="n"/>
      <c r="E386" s="28" t="n"/>
      <c r="F386" s="21" t="inlineStr">
        <is>
          <t>hallucination</t>
        </is>
      </c>
      <c r="G386" s="21" t="inlineStr">
        <is>
          <t>REFUSE</t>
        </is>
      </c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</row>
    <row r="387" ht="15.75" customHeight="1" s="66">
      <c r="A387" s="28" t="n">
        <v>84</v>
      </c>
      <c r="B387" s="29" t="inlineStr">
        <is>
          <t>Adv RAG + LlamaIndex</t>
        </is>
      </c>
      <c r="C387" s="30" t="inlineStr">
        <is>
          <t>JPMorgan Chase</t>
        </is>
      </c>
      <c r="D387" s="28" t="n"/>
      <c r="E387" s="28" t="n"/>
      <c r="F387" s="21" t="inlineStr">
        <is>
          <t>hallucination</t>
        </is>
      </c>
      <c r="G387" s="21" t="inlineStr">
        <is>
          <t>REFUSE</t>
        </is>
      </c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</row>
    <row r="388" ht="15.75" customHeight="1" s="66">
      <c r="A388" s="28" t="n">
        <v>85</v>
      </c>
      <c r="B388" s="29" t="inlineStr">
        <is>
          <t>Adv RAG + LlamaIndex</t>
        </is>
      </c>
      <c r="C388" s="30" t="inlineStr">
        <is>
          <t>Bank of America</t>
        </is>
      </c>
      <c r="D388" s="28" t="n"/>
      <c r="E388" s="28" t="n"/>
      <c r="F388" s="21" t="inlineStr">
        <is>
          <t>hallucination</t>
        </is>
      </c>
      <c r="G388" s="21" t="inlineStr">
        <is>
          <t>REFUSE</t>
        </is>
      </c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</row>
    <row r="389" ht="15.75" customHeight="1" s="66">
      <c r="A389" s="28" t="n">
        <v>86</v>
      </c>
      <c r="B389" s="29" t="inlineStr">
        <is>
          <t>Adv RAG + LlamaIndex</t>
        </is>
      </c>
      <c r="C389" s="30" t="inlineStr">
        <is>
          <t>Bank of America</t>
        </is>
      </c>
      <c r="D389" s="28" t="n"/>
      <c r="E389" s="28" t="n"/>
      <c r="F389" s="21" t="inlineStr">
        <is>
          <t>hallucination</t>
        </is>
      </c>
      <c r="G389" s="21" t="inlineStr">
        <is>
          <t>REFUSE</t>
        </is>
      </c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</row>
    <row r="390" ht="15.75" customHeight="1" s="66">
      <c r="A390" s="28" t="n">
        <v>87</v>
      </c>
      <c r="B390" s="29" t="inlineStr">
        <is>
          <t>Adv RAG + LlamaIndex</t>
        </is>
      </c>
      <c r="C390" s="30" t="inlineStr">
        <is>
          <t>Berkshire Hathaway</t>
        </is>
      </c>
      <c r="D390" s="28" t="n"/>
      <c r="E390" s="28" t="n"/>
      <c r="F390" s="21" t="inlineStr">
        <is>
          <t>hallucination</t>
        </is>
      </c>
      <c r="G390" s="21" t="inlineStr">
        <is>
          <t>REFUSE</t>
        </is>
      </c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</row>
    <row r="391" ht="15.75" customHeight="1" s="66">
      <c r="A391" s="28" t="n">
        <v>88</v>
      </c>
      <c r="B391" s="29" t="inlineStr">
        <is>
          <t>Adv RAG + LlamaIndex</t>
        </is>
      </c>
      <c r="C391" s="30" t="inlineStr">
        <is>
          <t>Berkshire Hathaway</t>
        </is>
      </c>
      <c r="D391" s="28" t="n"/>
      <c r="E391" s="28" t="n"/>
      <c r="F391" s="21" t="inlineStr">
        <is>
          <t>hallucination</t>
        </is>
      </c>
      <c r="G391" s="21" t="inlineStr">
        <is>
          <t>REFUSE</t>
        </is>
      </c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</row>
    <row r="392" ht="15.75" customHeight="1" s="66">
      <c r="A392" s="28" t="n">
        <v>89</v>
      </c>
      <c r="B392" s="29" t="inlineStr">
        <is>
          <t>Adv RAG + LlamaIndex</t>
        </is>
      </c>
      <c r="C392" s="30" t="inlineStr">
        <is>
          <t>Johnson &amp; Johnson</t>
        </is>
      </c>
      <c r="D392" s="28" t="n"/>
      <c r="E392" s="28" t="n"/>
      <c r="F392" s="21" t="inlineStr">
        <is>
          <t>hallucination</t>
        </is>
      </c>
      <c r="G392" s="21" t="inlineStr">
        <is>
          <t>REFUSE</t>
        </is>
      </c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</row>
    <row r="393" ht="15.75" customHeight="1" s="66">
      <c r="A393" s="28" t="n">
        <v>90</v>
      </c>
      <c r="B393" s="29" t="inlineStr">
        <is>
          <t>Adv RAG + LlamaIndex</t>
        </is>
      </c>
      <c r="C393" s="30" t="inlineStr">
        <is>
          <t>Johnson &amp; Johnson</t>
        </is>
      </c>
      <c r="D393" s="28" t="n"/>
      <c r="E393" s="28" t="n"/>
      <c r="F393" s="21" t="inlineStr">
        <is>
          <t>hallucination</t>
        </is>
      </c>
      <c r="G393" s="21" t="inlineStr">
        <is>
          <t>REFUSE</t>
        </is>
      </c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</row>
    <row r="394" ht="15.75" customHeight="1" s="66">
      <c r="A394" s="28" t="n">
        <v>91</v>
      </c>
      <c r="B394" s="29" t="inlineStr">
        <is>
          <t>Adv RAG + LlamaIndex</t>
        </is>
      </c>
      <c r="C394" s="30" t="inlineStr">
        <is>
          <t>UnitedHealth Group</t>
        </is>
      </c>
      <c r="D394" s="28" t="n"/>
      <c r="E394" s="28" t="n"/>
      <c r="F394" s="21" t="inlineStr">
        <is>
          <t>hallucination</t>
        </is>
      </c>
      <c r="G394" s="21" t="inlineStr">
        <is>
          <t>REFUSE</t>
        </is>
      </c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</row>
    <row r="395" ht="15.75" customHeight="1" s="66">
      <c r="A395" s="28" t="n">
        <v>92</v>
      </c>
      <c r="B395" s="29" t="inlineStr">
        <is>
          <t>Adv RAG + LlamaIndex</t>
        </is>
      </c>
      <c r="C395" s="30" t="inlineStr">
        <is>
          <t>UnitedHealth Group</t>
        </is>
      </c>
      <c r="D395" s="28" t="n"/>
      <c r="E395" s="28" t="n"/>
      <c r="F395" s="21" t="inlineStr">
        <is>
          <t>hallucination</t>
        </is>
      </c>
      <c r="G395" s="21" t="inlineStr">
        <is>
          <t>REFUSE</t>
        </is>
      </c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</row>
    <row r="396" ht="15.75" customHeight="1" s="66">
      <c r="A396" s="28" t="n">
        <v>93</v>
      </c>
      <c r="B396" s="29" t="inlineStr">
        <is>
          <t>Adv RAG + LlamaIndex</t>
        </is>
      </c>
      <c r="C396" s="30" t="inlineStr">
        <is>
          <t>Exxon Mobil</t>
        </is>
      </c>
      <c r="D396" s="28" t="n"/>
      <c r="E396" s="28" t="n"/>
      <c r="F396" s="21" t="inlineStr">
        <is>
          <t>hallucination</t>
        </is>
      </c>
      <c r="G396" s="21" t="inlineStr">
        <is>
          <t>REFUSE</t>
        </is>
      </c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</row>
    <row r="397" ht="15.75" customHeight="1" s="66">
      <c r="A397" s="28" t="n">
        <v>94</v>
      </c>
      <c r="B397" s="29" t="inlineStr">
        <is>
          <t>Adv RAG + LlamaIndex</t>
        </is>
      </c>
      <c r="C397" s="30" t="inlineStr">
        <is>
          <t>Exxon Mobil</t>
        </is>
      </c>
      <c r="D397" s="28" t="n"/>
      <c r="E397" s="28" t="n"/>
      <c r="F397" s="21" t="inlineStr">
        <is>
          <t>hallucination</t>
        </is>
      </c>
      <c r="G397" s="21" t="inlineStr">
        <is>
          <t>REFUSE</t>
        </is>
      </c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</row>
    <row r="398" ht="15.75" customHeight="1" s="66">
      <c r="A398" s="28" t="n">
        <v>95</v>
      </c>
      <c r="B398" s="29" t="inlineStr">
        <is>
          <t>Adv RAG + LlamaIndex</t>
        </is>
      </c>
      <c r="C398" s="30" t="inlineStr">
        <is>
          <t>Chevron</t>
        </is>
      </c>
      <c r="D398" s="28" t="n"/>
      <c r="E398" s="28" t="n"/>
      <c r="F398" s="21" t="inlineStr">
        <is>
          <t>hallucination</t>
        </is>
      </c>
      <c r="G398" s="21" t="inlineStr">
        <is>
          <t>REFUSE</t>
        </is>
      </c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</row>
    <row r="399" ht="15.75" customHeight="1" s="66">
      <c r="A399" s="28" t="n">
        <v>96</v>
      </c>
      <c r="B399" s="29" t="inlineStr">
        <is>
          <t>Adv RAG + LlamaIndex</t>
        </is>
      </c>
      <c r="C399" s="30" t="inlineStr">
        <is>
          <t>Chevron</t>
        </is>
      </c>
      <c r="D399" s="28" t="n"/>
      <c r="E399" s="28" t="n"/>
      <c r="F399" s="21" t="inlineStr">
        <is>
          <t>hallucination</t>
        </is>
      </c>
      <c r="G399" s="21" t="inlineStr">
        <is>
          <t>REFUSE</t>
        </is>
      </c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</row>
    <row r="400" ht="15.75" customHeight="1" s="66">
      <c r="A400" s="28" t="n">
        <v>97</v>
      </c>
      <c r="B400" s="29" t="inlineStr">
        <is>
          <t>Adv RAG + LlamaIndex</t>
        </is>
      </c>
      <c r="C400" s="30" t="inlineStr">
        <is>
          <t>Walmart</t>
        </is>
      </c>
      <c r="D400" s="28" t="n"/>
      <c r="E400" s="28" t="n"/>
      <c r="F400" s="21" t="inlineStr">
        <is>
          <t>hallucination</t>
        </is>
      </c>
      <c r="G400" s="21" t="inlineStr">
        <is>
          <t>REFUSE</t>
        </is>
      </c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</row>
    <row r="401" ht="15.75" customHeight="1" s="66">
      <c r="A401" s="28" t="n">
        <v>98</v>
      </c>
      <c r="B401" s="29" t="inlineStr">
        <is>
          <t>Adv RAG + LlamaIndex</t>
        </is>
      </c>
      <c r="C401" s="30" t="inlineStr">
        <is>
          <t>Walmart</t>
        </is>
      </c>
      <c r="D401" s="28" t="n"/>
      <c r="E401" s="28" t="n"/>
      <c r="F401" s="21" t="inlineStr">
        <is>
          <t>hallucination</t>
        </is>
      </c>
      <c r="G401" s="21" t="inlineStr">
        <is>
          <t>REFUSE</t>
        </is>
      </c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</row>
    <row r="402" ht="15.75" customHeight="1" s="66">
      <c r="A402" s="28" t="n">
        <v>99</v>
      </c>
      <c r="B402" s="29" t="inlineStr">
        <is>
          <t>Adv RAG + LlamaIndex</t>
        </is>
      </c>
      <c r="C402" s="30" t="inlineStr">
        <is>
          <t>Costco</t>
        </is>
      </c>
      <c r="D402" s="28" t="n"/>
      <c r="E402" s="28" t="n"/>
      <c r="F402" s="21" t="inlineStr">
        <is>
          <t>hallucination</t>
        </is>
      </c>
      <c r="G402" s="21" t="inlineStr">
        <is>
          <t>REFUSE</t>
        </is>
      </c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</row>
    <row r="403" ht="15.75" customHeight="1" s="66">
      <c r="A403" s="28" t="n">
        <v>100</v>
      </c>
      <c r="B403" s="29" t="inlineStr">
        <is>
          <t>Adv RAG + LlamaIndex</t>
        </is>
      </c>
      <c r="C403" s="30" t="inlineStr">
        <is>
          <t>Costco</t>
        </is>
      </c>
      <c r="D403" s="28" t="n"/>
      <c r="E403" s="28" t="n"/>
      <c r="F403" s="21" t="inlineStr">
        <is>
          <t>hallucination</t>
        </is>
      </c>
      <c r="G403" s="21" t="inlineStr">
        <is>
          <t>REFUSE</t>
        </is>
      </c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</row>
    <row r="404" ht="15.75" customHeight="1" s="66">
      <c r="A404" s="18" t="n">
        <v>1</v>
      </c>
      <c r="B404" s="31" t="n"/>
      <c r="C404" s="32" t="n"/>
      <c r="D404" s="18" t="n"/>
      <c r="E404" s="18" t="n"/>
      <c r="F404" s="33" t="n"/>
      <c r="G404" s="34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</row>
    <row r="405" ht="15.75" customHeight="1" s="66">
      <c r="A405" s="18" t="n">
        <v>2</v>
      </c>
      <c r="B405" s="31" t="n"/>
      <c r="C405" s="32" t="n"/>
      <c r="D405" s="18" t="n"/>
      <c r="E405" s="18" t="n"/>
      <c r="F405" s="33" t="n"/>
      <c r="G405" s="34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</row>
    <row r="406" ht="15.75" customHeight="1" s="66">
      <c r="A406" s="18" t="n">
        <v>3</v>
      </c>
      <c r="B406" s="31" t="n"/>
      <c r="C406" s="32" t="n"/>
      <c r="D406" s="18" t="n"/>
      <c r="E406" s="18" t="n"/>
      <c r="F406" s="33" t="n"/>
      <c r="G406" s="34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</row>
    <row r="407" ht="15.75" customHeight="1" s="66">
      <c r="A407" s="18" t="n">
        <v>4</v>
      </c>
      <c r="B407" s="31" t="n"/>
      <c r="C407" s="32" t="n"/>
      <c r="D407" s="18" t="n"/>
      <c r="E407" s="18" t="n"/>
      <c r="F407" s="33" t="n"/>
      <c r="G407" s="34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</row>
    <row r="408" ht="15.75" customHeight="1" s="66">
      <c r="A408" s="18" t="n">
        <v>5</v>
      </c>
      <c r="B408" s="31" t="n"/>
      <c r="C408" s="32" t="n"/>
      <c r="D408" s="18" t="n"/>
      <c r="E408" s="18" t="n"/>
      <c r="F408" s="33" t="n"/>
      <c r="G408" s="34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</row>
    <row r="409" ht="15.75" customHeight="1" s="66">
      <c r="A409" s="18" t="n">
        <v>6</v>
      </c>
      <c r="B409" s="31" t="n"/>
      <c r="C409" s="32" t="n"/>
      <c r="D409" s="18" t="n"/>
      <c r="E409" s="18" t="n"/>
      <c r="F409" s="33" t="n"/>
      <c r="G409" s="34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</row>
    <row r="410" ht="15.75" customHeight="1" s="66">
      <c r="A410" s="18" t="n">
        <v>7</v>
      </c>
      <c r="B410" s="31" t="n"/>
      <c r="C410" s="32" t="n"/>
      <c r="D410" s="18" t="n"/>
      <c r="E410" s="18" t="n"/>
      <c r="F410" s="33" t="n"/>
      <c r="G410" s="34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</row>
    <row r="411" ht="15.75" customHeight="1" s="66">
      <c r="A411" s="18" t="n">
        <v>8</v>
      </c>
      <c r="B411" s="31" t="n"/>
      <c r="C411" s="32" t="n"/>
      <c r="D411" s="18" t="n"/>
      <c r="E411" s="18" t="n"/>
      <c r="F411" s="33" t="n"/>
      <c r="G411" s="34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</row>
    <row r="412" ht="15.75" customHeight="1" s="66">
      <c r="A412" s="18" t="n">
        <v>9</v>
      </c>
      <c r="B412" s="31" t="n"/>
      <c r="C412" s="32" t="n"/>
      <c r="D412" s="18" t="n"/>
      <c r="E412" s="18" t="n"/>
      <c r="F412" s="33" t="n"/>
      <c r="G412" s="34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</row>
    <row r="413" ht="15.75" customHeight="1" s="66">
      <c r="A413" s="18" t="n">
        <v>10</v>
      </c>
      <c r="B413" s="31" t="n"/>
      <c r="C413" s="32" t="n"/>
      <c r="D413" s="18" t="n"/>
      <c r="E413" s="18" t="n"/>
      <c r="F413" s="33" t="n"/>
      <c r="G413" s="34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</row>
    <row r="414" ht="15.75" customHeight="1" s="66">
      <c r="A414" s="18" t="n">
        <v>11</v>
      </c>
      <c r="B414" s="31" t="n"/>
      <c r="C414" s="32" t="n"/>
      <c r="D414" s="18" t="n"/>
      <c r="E414" s="18" t="n"/>
      <c r="F414" s="33" t="n"/>
      <c r="G414" s="34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</row>
    <row r="415" ht="15.75" customHeight="1" s="66">
      <c r="A415" s="18" t="n">
        <v>12</v>
      </c>
      <c r="B415" s="31" t="n"/>
      <c r="C415" s="32" t="n"/>
      <c r="D415" s="18" t="n"/>
      <c r="E415" s="18" t="n"/>
      <c r="F415" s="33" t="n"/>
      <c r="G415" s="34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</row>
    <row r="416" ht="15.75" customHeight="1" s="66">
      <c r="A416" s="18" t="n">
        <v>13</v>
      </c>
      <c r="B416" s="31" t="n"/>
      <c r="C416" s="32" t="n"/>
      <c r="D416" s="18" t="n"/>
      <c r="E416" s="18" t="n"/>
      <c r="F416" s="33" t="n"/>
      <c r="G416" s="34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</row>
    <row r="417" ht="15.75" customHeight="1" s="66">
      <c r="A417" s="18" t="n">
        <v>14</v>
      </c>
      <c r="B417" s="31" t="n"/>
      <c r="C417" s="32" t="n"/>
      <c r="D417" s="18" t="n"/>
      <c r="E417" s="18" t="n"/>
      <c r="F417" s="33" t="n"/>
      <c r="G417" s="34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</row>
    <row r="418" ht="15.75" customHeight="1" s="66">
      <c r="A418" s="18" t="n">
        <v>15</v>
      </c>
      <c r="B418" s="31" t="n"/>
      <c r="C418" s="32" t="n"/>
      <c r="D418" s="18" t="n"/>
      <c r="E418" s="18" t="n"/>
      <c r="F418" s="33" t="n"/>
      <c r="G418" s="34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</row>
    <row r="419" ht="15.75" customHeight="1" s="66">
      <c r="A419" s="18" t="n">
        <v>16</v>
      </c>
      <c r="B419" s="31" t="n"/>
      <c r="C419" s="32" t="n"/>
      <c r="D419" s="18" t="n"/>
      <c r="E419" s="18" t="n"/>
      <c r="F419" s="33" t="n"/>
      <c r="G419" s="34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</row>
    <row r="420" ht="15.75" customHeight="1" s="66">
      <c r="A420" s="18" t="n">
        <v>17</v>
      </c>
      <c r="B420" s="31" t="n"/>
      <c r="C420" s="32" t="n"/>
      <c r="D420" s="18" t="n"/>
      <c r="E420" s="18" t="n"/>
      <c r="F420" s="33" t="n"/>
      <c r="G420" s="34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</row>
    <row r="421" ht="15.75" customHeight="1" s="66">
      <c r="A421" s="18" t="n">
        <v>18</v>
      </c>
      <c r="B421" s="31" t="n"/>
      <c r="C421" s="32" t="n"/>
      <c r="D421" s="18" t="n"/>
      <c r="E421" s="18" t="n"/>
      <c r="F421" s="33" t="n"/>
      <c r="G421" s="34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</row>
    <row r="422" ht="15.75" customHeight="1" s="66">
      <c r="A422" s="18" t="n">
        <v>19</v>
      </c>
      <c r="B422" s="31" t="n"/>
      <c r="C422" s="32" t="n"/>
      <c r="D422" s="18" t="n"/>
      <c r="E422" s="18" t="n"/>
      <c r="F422" s="33" t="n"/>
      <c r="G422" s="34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</row>
    <row r="423" ht="15.75" customHeight="1" s="66">
      <c r="A423" s="18" t="n">
        <v>20</v>
      </c>
      <c r="B423" s="31" t="n"/>
      <c r="C423" s="32" t="n"/>
      <c r="D423" s="18" t="n"/>
      <c r="E423" s="18" t="n"/>
      <c r="F423" s="33" t="n"/>
      <c r="G423" s="34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</row>
    <row r="424" ht="15.75" customHeight="1" s="66">
      <c r="A424" s="18" t="n">
        <v>21</v>
      </c>
      <c r="B424" s="31" t="n"/>
      <c r="C424" s="32" t="n"/>
      <c r="D424" s="18" t="n"/>
      <c r="E424" s="18" t="n"/>
      <c r="F424" s="33" t="n"/>
      <c r="G424" s="34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</row>
    <row r="425" ht="15.75" customHeight="1" s="66">
      <c r="A425" s="18" t="n">
        <v>22</v>
      </c>
      <c r="B425" s="31" t="n"/>
      <c r="C425" s="32" t="n"/>
      <c r="D425" s="18" t="n"/>
      <c r="E425" s="18" t="n"/>
      <c r="F425" s="33" t="n"/>
      <c r="G425" s="34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</row>
    <row r="426" ht="15.75" customHeight="1" s="66">
      <c r="A426" s="18" t="n">
        <v>23</v>
      </c>
      <c r="B426" s="31" t="n"/>
      <c r="C426" s="32" t="n"/>
      <c r="D426" s="18" t="n"/>
      <c r="E426" s="18" t="n"/>
      <c r="F426" s="33" t="n"/>
      <c r="G426" s="34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</row>
    <row r="427" ht="15.75" customHeight="1" s="66">
      <c r="A427" s="18" t="n">
        <v>24</v>
      </c>
      <c r="B427" s="31" t="n"/>
      <c r="C427" s="32" t="n"/>
      <c r="D427" s="18" t="n"/>
      <c r="E427" s="18" t="n"/>
      <c r="F427" s="33" t="n"/>
      <c r="G427" s="34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</row>
    <row r="428" ht="15.75" customHeight="1" s="66">
      <c r="A428" s="18" t="n">
        <v>25</v>
      </c>
      <c r="B428" s="31" t="n"/>
      <c r="C428" s="32" t="n"/>
      <c r="D428" s="18" t="n"/>
      <c r="E428" s="18" t="n"/>
      <c r="F428" s="33" t="n"/>
      <c r="G428" s="34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</row>
    <row r="429" ht="15.75" customHeight="1" s="66">
      <c r="A429" s="18" t="n">
        <v>26</v>
      </c>
      <c r="B429" s="31" t="n"/>
      <c r="C429" s="32" t="n"/>
      <c r="D429" s="18" t="n"/>
      <c r="E429" s="18" t="n"/>
      <c r="F429" s="35" t="n"/>
      <c r="G429" s="34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</row>
    <row r="430" ht="15.75" customHeight="1" s="66">
      <c r="A430" s="18" t="n">
        <v>27</v>
      </c>
      <c r="B430" s="31" t="n"/>
      <c r="C430" s="32" t="n"/>
      <c r="D430" s="18" t="n"/>
      <c r="E430" s="18" t="n"/>
      <c r="F430" s="35" t="n"/>
      <c r="G430" s="34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</row>
    <row r="431" ht="15.75" customHeight="1" s="66">
      <c r="A431" s="18" t="n">
        <v>28</v>
      </c>
      <c r="B431" s="31" t="n"/>
      <c r="C431" s="32" t="n"/>
      <c r="D431" s="18" t="n"/>
      <c r="E431" s="18" t="n"/>
      <c r="F431" s="35" t="n"/>
      <c r="G431" s="34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</row>
    <row r="432" ht="15.75" customHeight="1" s="66">
      <c r="A432" s="18" t="n">
        <v>29</v>
      </c>
      <c r="B432" s="31" t="n"/>
      <c r="C432" s="32" t="n"/>
      <c r="D432" s="18" t="n"/>
      <c r="E432" s="18" t="n"/>
      <c r="F432" s="35" t="n"/>
      <c r="G432" s="34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</row>
    <row r="433" ht="15.75" customHeight="1" s="66">
      <c r="A433" s="18" t="n">
        <v>30</v>
      </c>
      <c r="B433" s="31" t="n"/>
      <c r="C433" s="32" t="n"/>
      <c r="D433" s="18" t="n"/>
      <c r="E433" s="18" t="n"/>
      <c r="F433" s="35" t="n"/>
      <c r="G433" s="34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</row>
    <row r="434" ht="15.75" customHeight="1" s="66">
      <c r="A434" s="18" t="n">
        <v>31</v>
      </c>
      <c r="B434" s="31" t="n"/>
      <c r="C434" s="32" t="n"/>
      <c r="D434" s="18" t="n"/>
      <c r="E434" s="18" t="n"/>
      <c r="F434" s="35" t="n"/>
      <c r="G434" s="34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</row>
    <row r="435" ht="15.75" customHeight="1" s="66">
      <c r="A435" s="18" t="n">
        <v>32</v>
      </c>
      <c r="B435" s="31" t="n"/>
      <c r="C435" s="32" t="n"/>
      <c r="D435" s="18" t="n"/>
      <c r="E435" s="18" t="n"/>
      <c r="F435" s="35" t="n"/>
      <c r="G435" s="34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</row>
    <row r="436" ht="15.75" customHeight="1" s="66">
      <c r="A436" s="18" t="n">
        <v>33</v>
      </c>
      <c r="B436" s="31" t="n"/>
      <c r="C436" s="32" t="n"/>
      <c r="D436" s="18" t="n"/>
      <c r="E436" s="18" t="n"/>
      <c r="F436" s="35" t="n"/>
      <c r="G436" s="34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</row>
    <row r="437" ht="15.75" customHeight="1" s="66">
      <c r="A437" s="18" t="n">
        <v>34</v>
      </c>
      <c r="B437" s="31" t="n"/>
      <c r="C437" s="32" t="n"/>
      <c r="D437" s="18" t="n"/>
      <c r="E437" s="18" t="n"/>
      <c r="F437" s="35" t="n"/>
      <c r="G437" s="34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</row>
    <row r="438" ht="15.75" customHeight="1" s="66">
      <c r="A438" s="18" t="n">
        <v>35</v>
      </c>
      <c r="B438" s="31" t="n"/>
      <c r="C438" s="32" t="n"/>
      <c r="D438" s="18" t="n"/>
      <c r="E438" s="18" t="n"/>
      <c r="F438" s="35" t="n"/>
      <c r="G438" s="34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</row>
    <row r="439" ht="15.75" customHeight="1" s="66">
      <c r="A439" s="18" t="n">
        <v>36</v>
      </c>
      <c r="B439" s="31" t="n"/>
      <c r="C439" s="32" t="n"/>
      <c r="D439" s="18" t="n"/>
      <c r="E439" s="18" t="n"/>
      <c r="F439" s="35" t="n"/>
      <c r="G439" s="34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</row>
    <row r="440" ht="15.75" customHeight="1" s="66">
      <c r="A440" s="18" t="n">
        <v>37</v>
      </c>
      <c r="B440" s="31" t="n"/>
      <c r="C440" s="32" t="n"/>
      <c r="D440" s="18" t="n"/>
      <c r="E440" s="18" t="n"/>
      <c r="F440" s="35" t="n"/>
      <c r="G440" s="34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</row>
    <row r="441" ht="15.75" customHeight="1" s="66">
      <c r="A441" s="18" t="n">
        <v>38</v>
      </c>
      <c r="B441" s="31" t="n"/>
      <c r="C441" s="32" t="n"/>
      <c r="D441" s="18" t="n"/>
      <c r="E441" s="18" t="n"/>
      <c r="F441" s="35" t="n"/>
      <c r="G441" s="34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</row>
    <row r="442" ht="15.75" customHeight="1" s="66">
      <c r="A442" s="18" t="n">
        <v>39</v>
      </c>
      <c r="B442" s="31" t="n"/>
      <c r="C442" s="32" t="n"/>
      <c r="D442" s="18" t="n"/>
      <c r="E442" s="18" t="n"/>
      <c r="F442" s="35" t="n"/>
      <c r="G442" s="34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</row>
    <row r="443" ht="15.75" customHeight="1" s="66">
      <c r="A443" s="18" t="n">
        <v>40</v>
      </c>
      <c r="B443" s="31" t="n"/>
      <c r="C443" s="32" t="n"/>
      <c r="D443" s="18" t="n"/>
      <c r="E443" s="18" t="n"/>
      <c r="F443" s="35" t="n"/>
      <c r="G443" s="34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</row>
    <row r="444" ht="15.75" customHeight="1" s="66">
      <c r="A444" s="18" t="n">
        <v>41</v>
      </c>
      <c r="B444" s="31" t="n"/>
      <c r="C444" s="32" t="n"/>
      <c r="D444" s="18" t="n"/>
      <c r="E444" s="18" t="n"/>
      <c r="F444" s="35" t="n"/>
      <c r="G444" s="34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</row>
    <row r="445" ht="15.75" customHeight="1" s="66">
      <c r="A445" s="18" t="n">
        <v>42</v>
      </c>
      <c r="B445" s="31" t="n"/>
      <c r="C445" s="32" t="n"/>
      <c r="D445" s="18" t="n"/>
      <c r="E445" s="18" t="n"/>
      <c r="F445" s="35" t="n"/>
      <c r="G445" s="34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</row>
    <row r="446" ht="15.75" customHeight="1" s="66">
      <c r="A446" s="18" t="n">
        <v>43</v>
      </c>
      <c r="B446" s="31" t="n"/>
      <c r="C446" s="32" t="n"/>
      <c r="D446" s="18" t="n"/>
      <c r="E446" s="18" t="n"/>
      <c r="F446" s="35" t="n"/>
      <c r="G446" s="34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</row>
    <row r="447" ht="15.75" customHeight="1" s="66">
      <c r="A447" s="18" t="n">
        <v>44</v>
      </c>
      <c r="B447" s="31" t="n"/>
      <c r="C447" s="32" t="n"/>
      <c r="D447" s="18" t="n"/>
      <c r="E447" s="18" t="n"/>
      <c r="F447" s="35" t="n"/>
      <c r="G447" s="34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</row>
    <row r="448" ht="15.75" customHeight="1" s="66">
      <c r="A448" s="18" t="n">
        <v>45</v>
      </c>
      <c r="B448" s="31" t="n"/>
      <c r="C448" s="32" t="n"/>
      <c r="D448" s="18" t="n"/>
      <c r="E448" s="18" t="n"/>
      <c r="F448" s="35" t="n"/>
      <c r="G448" s="34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</row>
    <row r="449" ht="15.75" customHeight="1" s="66">
      <c r="A449" s="18" t="n">
        <v>46</v>
      </c>
      <c r="B449" s="31" t="n"/>
      <c r="C449" s="32" t="n"/>
      <c r="D449" s="18" t="n"/>
      <c r="E449" s="18" t="n"/>
      <c r="F449" s="35" t="n"/>
      <c r="G449" s="34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</row>
    <row r="450" ht="15.75" customHeight="1" s="66">
      <c r="A450" s="18" t="n">
        <v>47</v>
      </c>
      <c r="B450" s="31" t="n"/>
      <c r="C450" s="32" t="n"/>
      <c r="D450" s="18" t="n"/>
      <c r="E450" s="18" t="n"/>
      <c r="F450" s="35" t="n"/>
      <c r="G450" s="34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</row>
    <row r="451" ht="15.75" customHeight="1" s="66">
      <c r="A451" s="18" t="n">
        <v>48</v>
      </c>
      <c r="B451" s="31" t="n"/>
      <c r="C451" s="32" t="n"/>
      <c r="D451" s="18" t="n"/>
      <c r="E451" s="18" t="n"/>
      <c r="F451" s="35" t="n"/>
      <c r="G451" s="34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</row>
    <row r="452" ht="15.75" customHeight="1" s="66">
      <c r="A452" s="18" t="n">
        <v>49</v>
      </c>
      <c r="B452" s="31" t="n"/>
      <c r="C452" s="32" t="n"/>
      <c r="D452" s="18" t="n"/>
      <c r="E452" s="18" t="n"/>
      <c r="F452" s="35" t="n"/>
      <c r="G452" s="34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</row>
    <row r="453" ht="15.75" customHeight="1" s="66">
      <c r="A453" s="18" t="n">
        <v>50</v>
      </c>
      <c r="B453" s="31" t="n"/>
      <c r="C453" s="32" t="n"/>
      <c r="D453" s="18" t="n"/>
      <c r="E453" s="18" t="n"/>
      <c r="F453" s="35" t="n"/>
      <c r="G453" s="34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</row>
    <row r="454" ht="15.75" customHeight="1" s="66">
      <c r="A454" s="18" t="n">
        <v>51</v>
      </c>
      <c r="B454" s="31" t="n"/>
      <c r="C454" s="32" t="n"/>
      <c r="D454" s="18" t="n"/>
      <c r="E454" s="18" t="n"/>
      <c r="F454" s="34" t="n"/>
      <c r="G454" s="34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</row>
    <row r="455" ht="15.75" customHeight="1" s="66">
      <c r="A455" s="18" t="n">
        <v>52</v>
      </c>
      <c r="B455" s="31" t="n"/>
      <c r="C455" s="32" t="n"/>
      <c r="D455" s="18" t="n"/>
      <c r="E455" s="18" t="n"/>
      <c r="F455" s="34" t="n"/>
      <c r="G455" s="34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</row>
    <row r="456" ht="15.75" customHeight="1" s="66">
      <c r="A456" s="18" t="n">
        <v>53</v>
      </c>
      <c r="B456" s="31" t="n"/>
      <c r="C456" s="32" t="n"/>
      <c r="D456" s="18" t="n"/>
      <c r="E456" s="18" t="n"/>
      <c r="F456" s="34" t="n"/>
      <c r="G456" s="34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</row>
    <row r="457" ht="15.75" customHeight="1" s="66">
      <c r="A457" s="18" t="n">
        <v>54</v>
      </c>
      <c r="B457" s="31" t="n"/>
      <c r="C457" s="32" t="n"/>
      <c r="D457" s="18" t="n"/>
      <c r="E457" s="18" t="n"/>
      <c r="F457" s="34" t="n"/>
      <c r="G457" s="34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</row>
    <row r="458" ht="15.75" customHeight="1" s="66">
      <c r="A458" s="18" t="n">
        <v>55</v>
      </c>
      <c r="B458" s="31" t="n"/>
      <c r="C458" s="32" t="n"/>
      <c r="D458" s="18" t="n"/>
      <c r="E458" s="18" t="n"/>
      <c r="F458" s="34" t="n"/>
      <c r="G458" s="34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</row>
    <row r="459" ht="15.75" customHeight="1" s="66">
      <c r="A459" s="18" t="n">
        <v>56</v>
      </c>
      <c r="B459" s="31" t="n"/>
      <c r="C459" s="32" t="n"/>
      <c r="D459" s="18" t="n"/>
      <c r="E459" s="18" t="n"/>
      <c r="F459" s="34" t="n"/>
      <c r="G459" s="34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</row>
    <row r="460" ht="15.75" customHeight="1" s="66">
      <c r="A460" s="18" t="n">
        <v>57</v>
      </c>
      <c r="B460" s="31" t="n"/>
      <c r="C460" s="32" t="n"/>
      <c r="D460" s="18" t="n"/>
      <c r="E460" s="18" t="n"/>
      <c r="F460" s="34" t="n"/>
      <c r="G460" s="34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</row>
    <row r="461" ht="15.75" customHeight="1" s="66">
      <c r="A461" s="18" t="n">
        <v>58</v>
      </c>
      <c r="B461" s="31" t="n"/>
      <c r="C461" s="32" t="n"/>
      <c r="D461" s="18" t="n"/>
      <c r="E461" s="18" t="n"/>
      <c r="F461" s="34" t="n"/>
      <c r="G461" s="34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</row>
    <row r="462" ht="15.75" customHeight="1" s="66">
      <c r="A462" s="18" t="n">
        <v>59</v>
      </c>
      <c r="B462" s="31" t="n"/>
      <c r="C462" s="32" t="n"/>
      <c r="D462" s="18" t="n"/>
      <c r="E462" s="18" t="n"/>
      <c r="F462" s="34" t="n"/>
      <c r="G462" s="34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</row>
    <row r="463" ht="15.75" customHeight="1" s="66">
      <c r="A463" s="18" t="n">
        <v>60</v>
      </c>
      <c r="B463" s="31" t="n"/>
      <c r="C463" s="32" t="n"/>
      <c r="D463" s="18" t="n"/>
      <c r="E463" s="18" t="n"/>
      <c r="F463" s="34" t="n"/>
      <c r="G463" s="34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</row>
    <row r="464" ht="15.75" customHeight="1" s="66">
      <c r="A464" s="18" t="n">
        <v>61</v>
      </c>
      <c r="B464" s="31" t="n"/>
      <c r="C464" s="32" t="n"/>
      <c r="D464" s="18" t="n"/>
      <c r="E464" s="18" t="n"/>
      <c r="F464" s="34" t="n"/>
      <c r="G464" s="34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</row>
    <row r="465" ht="15.75" customHeight="1" s="66">
      <c r="A465" s="18" t="n">
        <v>62</v>
      </c>
      <c r="B465" s="31" t="n"/>
      <c r="C465" s="32" t="n"/>
      <c r="D465" s="18" t="n"/>
      <c r="E465" s="18" t="n"/>
      <c r="F465" s="34" t="n"/>
      <c r="G465" s="34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</row>
    <row r="466" ht="15.75" customHeight="1" s="66">
      <c r="A466" s="18" t="n">
        <v>63</v>
      </c>
      <c r="B466" s="31" t="n"/>
      <c r="C466" s="32" t="n"/>
      <c r="D466" s="18" t="n"/>
      <c r="E466" s="18" t="n"/>
      <c r="F466" s="34" t="n"/>
      <c r="G466" s="34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</row>
    <row r="467" ht="15.75" customHeight="1" s="66">
      <c r="A467" s="18" t="n">
        <v>64</v>
      </c>
      <c r="B467" s="31" t="n"/>
      <c r="C467" s="32" t="n"/>
      <c r="D467" s="18" t="n"/>
      <c r="E467" s="18" t="n"/>
      <c r="F467" s="34" t="n"/>
      <c r="G467" s="34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</row>
    <row r="468" ht="15.75" customHeight="1" s="66">
      <c r="A468" s="18" t="n">
        <v>65</v>
      </c>
      <c r="B468" s="31" t="n"/>
      <c r="C468" s="32" t="n"/>
      <c r="D468" s="18" t="n"/>
      <c r="E468" s="18" t="n"/>
      <c r="F468" s="34" t="n"/>
      <c r="G468" s="34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</row>
    <row r="469" ht="15.75" customHeight="1" s="66">
      <c r="A469" s="18" t="n">
        <v>66</v>
      </c>
      <c r="B469" s="31" t="n"/>
      <c r="C469" s="32" t="n"/>
      <c r="D469" s="18" t="n"/>
      <c r="E469" s="18" t="n"/>
      <c r="F469" s="34" t="n"/>
      <c r="G469" s="34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</row>
    <row r="470" ht="15.75" customHeight="1" s="66">
      <c r="A470" s="18" t="n">
        <v>67</v>
      </c>
      <c r="B470" s="31" t="n"/>
      <c r="C470" s="32" t="n"/>
      <c r="D470" s="18" t="n"/>
      <c r="E470" s="18" t="n"/>
      <c r="F470" s="34" t="n"/>
      <c r="G470" s="34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</row>
    <row r="471" ht="15.75" customHeight="1" s="66">
      <c r="A471" s="18" t="n">
        <v>68</v>
      </c>
      <c r="B471" s="31" t="n"/>
      <c r="C471" s="32" t="n"/>
      <c r="D471" s="18" t="n"/>
      <c r="E471" s="18" t="n"/>
      <c r="F471" s="34" t="n"/>
      <c r="G471" s="34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</row>
    <row r="472" ht="15.75" customHeight="1" s="66">
      <c r="A472" s="18" t="n">
        <v>69</v>
      </c>
      <c r="B472" s="31" t="n"/>
      <c r="C472" s="32" t="n"/>
      <c r="D472" s="18" t="n"/>
      <c r="E472" s="18" t="n"/>
      <c r="F472" s="34" t="n"/>
      <c r="G472" s="34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</row>
    <row r="473" ht="15.75" customHeight="1" s="66">
      <c r="A473" s="18" t="n">
        <v>70</v>
      </c>
      <c r="B473" s="31" t="n"/>
      <c r="C473" s="32" t="n"/>
      <c r="D473" s="18" t="n"/>
      <c r="E473" s="18" t="n"/>
      <c r="F473" s="34" t="n"/>
      <c r="G473" s="34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</row>
    <row r="474" ht="15.75" customHeight="1" s="66">
      <c r="A474" s="18" t="n">
        <v>71</v>
      </c>
      <c r="B474" s="31" t="n"/>
      <c r="C474" s="32" t="n"/>
      <c r="D474" s="18" t="n"/>
      <c r="E474" s="18" t="n"/>
      <c r="F474" s="34" t="n"/>
      <c r="G474" s="34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</row>
    <row r="475" ht="15.75" customHeight="1" s="66">
      <c r="A475" s="18" t="n">
        <v>72</v>
      </c>
      <c r="B475" s="31" t="n"/>
      <c r="C475" s="32" t="n"/>
      <c r="D475" s="18" t="n"/>
      <c r="E475" s="18" t="n"/>
      <c r="F475" s="34" t="n"/>
      <c r="G475" s="34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</row>
    <row r="476" ht="15.75" customHeight="1" s="66">
      <c r="A476" s="18" t="n">
        <v>73</v>
      </c>
      <c r="B476" s="31" t="n"/>
      <c r="C476" s="32" t="n"/>
      <c r="D476" s="18" t="n"/>
      <c r="E476" s="18" t="n"/>
      <c r="F476" s="34" t="n"/>
      <c r="G476" s="34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</row>
    <row r="477" ht="15.75" customHeight="1" s="66">
      <c r="A477" s="18" t="n">
        <v>74</v>
      </c>
      <c r="B477" s="31" t="n"/>
      <c r="C477" s="32" t="n"/>
      <c r="D477" s="18" t="n"/>
      <c r="E477" s="18" t="n"/>
      <c r="F477" s="34" t="n"/>
      <c r="G477" s="34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</row>
    <row r="478" ht="15.75" customHeight="1" s="66">
      <c r="A478" s="18" t="n">
        <v>75</v>
      </c>
      <c r="B478" s="31" t="n"/>
      <c r="C478" s="32" t="n"/>
      <c r="D478" s="18" t="n"/>
      <c r="E478" s="18" t="n"/>
      <c r="F478" s="34" t="n"/>
      <c r="G478" s="34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</row>
    <row r="479" ht="15.75" customHeight="1" s="66">
      <c r="A479" s="18" t="n">
        <v>76</v>
      </c>
      <c r="B479" s="31" t="n"/>
      <c r="C479" s="32" t="n"/>
      <c r="D479" s="18" t="n"/>
      <c r="E479" s="18" t="n"/>
      <c r="F479" s="36" t="n"/>
      <c r="G479" s="36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</row>
    <row r="480" ht="15.75" customHeight="1" s="66">
      <c r="A480" s="18" t="n">
        <v>77</v>
      </c>
      <c r="B480" s="31" t="n"/>
      <c r="C480" s="32" t="n"/>
      <c r="D480" s="18" t="n"/>
      <c r="E480" s="18" t="n"/>
      <c r="F480" s="36" t="n"/>
      <c r="G480" s="36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</row>
    <row r="481" ht="15.75" customHeight="1" s="66">
      <c r="A481" s="18" t="n">
        <v>78</v>
      </c>
      <c r="B481" s="31" t="n"/>
      <c r="C481" s="32" t="n"/>
      <c r="D481" s="18" t="n"/>
      <c r="E481" s="18" t="n"/>
      <c r="F481" s="36" t="n"/>
      <c r="G481" s="36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</row>
    <row r="482" ht="15.75" customHeight="1" s="66">
      <c r="A482" s="18" t="n">
        <v>79</v>
      </c>
      <c r="B482" s="31" t="n"/>
      <c r="C482" s="32" t="n"/>
      <c r="D482" s="18" t="n"/>
      <c r="E482" s="18" t="n"/>
      <c r="F482" s="36" t="n"/>
      <c r="G482" s="36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</row>
    <row r="483" ht="15.75" customHeight="1" s="66">
      <c r="A483" s="18" t="n">
        <v>80</v>
      </c>
      <c r="B483" s="31" t="n"/>
      <c r="C483" s="32" t="n"/>
      <c r="D483" s="18" t="n"/>
      <c r="E483" s="18" t="n"/>
      <c r="F483" s="36" t="n"/>
      <c r="G483" s="36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</row>
    <row r="484" ht="15.75" customHeight="1" s="66">
      <c r="A484" s="18" t="n">
        <v>81</v>
      </c>
      <c r="B484" s="31" t="n"/>
      <c r="C484" s="32" t="n"/>
      <c r="D484" s="18" t="n"/>
      <c r="E484" s="18" t="n"/>
      <c r="F484" s="36" t="n"/>
      <c r="G484" s="36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</row>
    <row r="485" ht="15.75" customHeight="1" s="66">
      <c r="A485" s="18" t="n">
        <v>82</v>
      </c>
      <c r="B485" s="31" t="n"/>
      <c r="C485" s="32" t="n"/>
      <c r="D485" s="18" t="n"/>
      <c r="E485" s="18" t="n"/>
      <c r="F485" s="36" t="n"/>
      <c r="G485" s="36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</row>
    <row r="486" ht="15.75" customHeight="1" s="66">
      <c r="A486" s="18" t="n">
        <v>83</v>
      </c>
      <c r="B486" s="31" t="n"/>
      <c r="C486" s="32" t="n"/>
      <c r="D486" s="18" t="n"/>
      <c r="E486" s="18" t="n"/>
      <c r="F486" s="36" t="n"/>
      <c r="G486" s="36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</row>
    <row r="487" ht="15.75" customHeight="1" s="66">
      <c r="A487" s="18" t="n">
        <v>84</v>
      </c>
      <c r="B487" s="31" t="n"/>
      <c r="C487" s="32" t="n"/>
      <c r="D487" s="18" t="n"/>
      <c r="E487" s="18" t="n"/>
      <c r="F487" s="36" t="n"/>
      <c r="G487" s="36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</row>
    <row r="488" ht="15.75" customHeight="1" s="66">
      <c r="A488" s="18" t="n">
        <v>85</v>
      </c>
      <c r="B488" s="31" t="n"/>
      <c r="C488" s="32" t="n"/>
      <c r="D488" s="18" t="n"/>
      <c r="E488" s="18" t="n"/>
      <c r="F488" s="36" t="n"/>
      <c r="G488" s="36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</row>
    <row r="489" ht="15.75" customHeight="1" s="66">
      <c r="A489" s="18" t="n">
        <v>86</v>
      </c>
      <c r="B489" s="31" t="n"/>
      <c r="C489" s="32" t="n"/>
      <c r="D489" s="18" t="n"/>
      <c r="E489" s="18" t="n"/>
      <c r="F489" s="36" t="n"/>
      <c r="G489" s="36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</row>
    <row r="490" ht="15.75" customHeight="1" s="66">
      <c r="A490" s="18" t="n">
        <v>87</v>
      </c>
      <c r="B490" s="31" t="n"/>
      <c r="C490" s="32" t="n"/>
      <c r="D490" s="18" t="n"/>
      <c r="E490" s="18" t="n"/>
      <c r="F490" s="36" t="n"/>
      <c r="G490" s="36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</row>
    <row r="491" ht="15.75" customHeight="1" s="66">
      <c r="A491" s="18" t="n">
        <v>88</v>
      </c>
      <c r="B491" s="31" t="n"/>
      <c r="C491" s="32" t="n"/>
      <c r="D491" s="18" t="n"/>
      <c r="E491" s="18" t="n"/>
      <c r="F491" s="36" t="n"/>
      <c r="G491" s="36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</row>
    <row r="492" ht="15.75" customHeight="1" s="66">
      <c r="A492" s="18" t="n">
        <v>89</v>
      </c>
      <c r="B492" s="31" t="n"/>
      <c r="C492" s="32" t="n"/>
      <c r="D492" s="18" t="n"/>
      <c r="E492" s="18" t="n"/>
      <c r="F492" s="36" t="n"/>
      <c r="G492" s="36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</row>
    <row r="493" ht="15.75" customHeight="1" s="66">
      <c r="A493" s="18" t="n">
        <v>90</v>
      </c>
      <c r="B493" s="31" t="n"/>
      <c r="C493" s="32" t="n"/>
      <c r="D493" s="18" t="n"/>
      <c r="E493" s="18" t="n"/>
      <c r="F493" s="36" t="n"/>
      <c r="G493" s="36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</row>
    <row r="494" ht="15.75" customHeight="1" s="66">
      <c r="A494" s="18" t="n">
        <v>91</v>
      </c>
      <c r="B494" s="31" t="n"/>
      <c r="C494" s="32" t="n"/>
      <c r="D494" s="18" t="n"/>
      <c r="E494" s="18" t="n"/>
      <c r="F494" s="36" t="n"/>
      <c r="G494" s="36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</row>
    <row r="495" ht="15.75" customHeight="1" s="66">
      <c r="A495" s="18" t="n">
        <v>92</v>
      </c>
      <c r="B495" s="31" t="n"/>
      <c r="C495" s="32" t="n"/>
      <c r="D495" s="18" t="n"/>
      <c r="E495" s="18" t="n"/>
      <c r="F495" s="36" t="n"/>
      <c r="G495" s="36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</row>
    <row r="496" ht="15.75" customHeight="1" s="66">
      <c r="A496" s="18" t="n">
        <v>93</v>
      </c>
      <c r="B496" s="31" t="n"/>
      <c r="C496" s="32" t="n"/>
      <c r="D496" s="18" t="n"/>
      <c r="E496" s="18" t="n"/>
      <c r="F496" s="36" t="n"/>
      <c r="G496" s="36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</row>
    <row r="497" ht="15.75" customHeight="1" s="66">
      <c r="A497" s="18" t="n">
        <v>94</v>
      </c>
      <c r="B497" s="31" t="n"/>
      <c r="C497" s="32" t="n"/>
      <c r="D497" s="18" t="n"/>
      <c r="E497" s="18" t="n"/>
      <c r="F497" s="36" t="n"/>
      <c r="G497" s="36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</row>
    <row r="498" ht="15.75" customHeight="1" s="66">
      <c r="A498" s="18" t="n">
        <v>95</v>
      </c>
      <c r="B498" s="31" t="n"/>
      <c r="C498" s="32" t="n"/>
      <c r="D498" s="18" t="n"/>
      <c r="E498" s="18" t="n"/>
      <c r="F498" s="36" t="n"/>
      <c r="G498" s="36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</row>
    <row r="499" ht="15.75" customHeight="1" s="66">
      <c r="A499" s="18" t="n">
        <v>96</v>
      </c>
      <c r="B499" s="31" t="n"/>
      <c r="C499" s="32" t="n"/>
      <c r="D499" s="18" t="n"/>
      <c r="E499" s="18" t="n"/>
      <c r="F499" s="36" t="n"/>
      <c r="G499" s="36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</row>
    <row r="500" ht="15.75" customHeight="1" s="66">
      <c r="A500" s="18" t="n">
        <v>97</v>
      </c>
      <c r="B500" s="31" t="n"/>
      <c r="C500" s="32" t="n"/>
      <c r="D500" s="18" t="n"/>
      <c r="E500" s="18" t="n"/>
      <c r="F500" s="36" t="n"/>
      <c r="G500" s="36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</row>
    <row r="501" ht="15.75" customHeight="1" s="66">
      <c r="A501" s="18" t="n">
        <v>98</v>
      </c>
      <c r="B501" s="31" t="n"/>
      <c r="C501" s="32" t="n"/>
      <c r="D501" s="18" t="n"/>
      <c r="E501" s="18" t="n"/>
      <c r="F501" s="36" t="n"/>
      <c r="G501" s="36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</row>
    <row r="502" ht="15.75" customHeight="1" s="66">
      <c r="A502" s="18" t="n">
        <v>99</v>
      </c>
      <c r="B502" s="31" t="n"/>
      <c r="C502" s="32" t="n"/>
      <c r="D502" s="18" t="n"/>
      <c r="E502" s="18" t="n"/>
      <c r="F502" s="36" t="n"/>
      <c r="G502" s="36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</row>
    <row r="503" ht="15.75" customHeight="1" s="66">
      <c r="A503" s="18" t="n">
        <v>100</v>
      </c>
      <c r="B503" s="31" t="n"/>
      <c r="C503" s="32" t="n"/>
      <c r="D503" s="18" t="n"/>
      <c r="E503" s="18" t="n"/>
      <c r="F503" s="36" t="n"/>
      <c r="G503" s="36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</row>
    <row r="504" ht="15.75" customHeight="1" s="66">
      <c r="C504" s="37" t="n"/>
    </row>
    <row r="505" ht="15.75" customHeight="1" s="66">
      <c r="C505" s="37" t="n"/>
    </row>
    <row r="506" ht="15.75" customHeight="1" s="66">
      <c r="C506" s="37" t="n"/>
    </row>
    <row r="507" ht="15.75" customHeight="1" s="66">
      <c r="C507" s="37" t="n"/>
    </row>
    <row r="508" ht="15.75" customHeight="1" s="66">
      <c r="C508" s="37" t="n"/>
    </row>
    <row r="509" ht="15.75" customHeight="1" s="66">
      <c r="C509" s="37" t="n"/>
    </row>
    <row r="510" ht="15.75" customHeight="1" s="66">
      <c r="C510" s="37" t="n"/>
    </row>
    <row r="511" ht="15.75" customHeight="1" s="66">
      <c r="C511" s="37" t="n"/>
    </row>
    <row r="512" ht="15.75" customHeight="1" s="66">
      <c r="C512" s="37" t="n"/>
    </row>
    <row r="513" ht="15.75" customHeight="1" s="66">
      <c r="C513" s="37" t="n"/>
    </row>
    <row r="514" ht="15.75" customHeight="1" s="66">
      <c r="C514" s="37" t="n"/>
    </row>
    <row r="515" ht="15.75" customHeight="1" s="66">
      <c r="C515" s="37" t="n"/>
    </row>
    <row r="516" ht="15.75" customHeight="1" s="66">
      <c r="C516" s="37" t="n"/>
    </row>
    <row r="517" ht="15.75" customHeight="1" s="66">
      <c r="C517" s="37" t="n"/>
    </row>
    <row r="518" ht="15.75" customHeight="1" s="66">
      <c r="C518" s="37" t="n"/>
    </row>
    <row r="519" ht="15.75" customHeight="1" s="66">
      <c r="C519" s="37" t="n"/>
    </row>
    <row r="520" ht="15.75" customHeight="1" s="66">
      <c r="C520" s="37" t="n"/>
    </row>
    <row r="521" ht="15.75" customHeight="1" s="66">
      <c r="C521" s="37" t="n"/>
    </row>
    <row r="522" ht="15.75" customHeight="1" s="66">
      <c r="C522" s="37" t="n"/>
    </row>
    <row r="523" ht="15.75" customHeight="1" s="66">
      <c r="C523" s="37" t="n"/>
    </row>
    <row r="524" ht="15.75" customHeight="1" s="66">
      <c r="C524" s="37" t="n"/>
    </row>
    <row r="525" ht="15.75" customHeight="1" s="66">
      <c r="C525" s="37" t="n"/>
    </row>
    <row r="526" ht="15.75" customHeight="1" s="66">
      <c r="C526" s="37" t="n"/>
    </row>
    <row r="527" ht="15.75" customHeight="1" s="66">
      <c r="C527" s="37" t="n"/>
    </row>
    <row r="528" ht="15.75" customHeight="1" s="66">
      <c r="C528" s="37" t="n"/>
    </row>
    <row r="529" ht="15.75" customHeight="1" s="66">
      <c r="C529" s="37" t="n"/>
    </row>
    <row r="530" ht="15.75" customHeight="1" s="66">
      <c r="C530" s="37" t="n"/>
    </row>
    <row r="531" ht="15.75" customHeight="1" s="66">
      <c r="C531" s="37" t="n"/>
    </row>
    <row r="532" ht="15.75" customHeight="1" s="66">
      <c r="C532" s="37" t="n"/>
    </row>
    <row r="533" ht="15.75" customHeight="1" s="66">
      <c r="C533" s="37" t="n"/>
    </row>
    <row r="534" ht="15.75" customHeight="1" s="66">
      <c r="C534" s="37" t="n"/>
    </row>
    <row r="535" ht="15.75" customHeight="1" s="66">
      <c r="C535" s="37" t="n"/>
    </row>
    <row r="536" ht="15.75" customHeight="1" s="66">
      <c r="C536" s="37" t="n"/>
    </row>
    <row r="537" ht="15.75" customHeight="1" s="66">
      <c r="C537" s="37" t="n"/>
    </row>
    <row r="538" ht="15.75" customHeight="1" s="66">
      <c r="C538" s="37" t="n"/>
    </row>
    <row r="539" ht="15.75" customHeight="1" s="66">
      <c r="C539" s="37" t="n"/>
    </row>
    <row r="540" ht="15.75" customHeight="1" s="66">
      <c r="C540" s="37" t="n"/>
    </row>
    <row r="541" ht="15.75" customHeight="1" s="66">
      <c r="C541" s="37" t="n"/>
    </row>
    <row r="542" ht="15.75" customHeight="1" s="66">
      <c r="C542" s="37" t="n"/>
    </row>
    <row r="543" ht="15.75" customHeight="1" s="66">
      <c r="C543" s="37" t="n"/>
    </row>
    <row r="544" ht="15.75" customHeight="1" s="66">
      <c r="C544" s="37" t="n"/>
    </row>
    <row r="545" ht="15.75" customHeight="1" s="66">
      <c r="C545" s="37" t="n"/>
    </row>
    <row r="546" ht="15.75" customHeight="1" s="66">
      <c r="C546" s="37" t="n"/>
    </row>
    <row r="547" ht="15.75" customHeight="1" s="66">
      <c r="C547" s="37" t="n"/>
    </row>
    <row r="548" ht="15.75" customHeight="1" s="66">
      <c r="C548" s="37" t="n"/>
    </row>
    <row r="549" ht="15.75" customHeight="1" s="66">
      <c r="C549" s="37" t="n"/>
    </row>
    <row r="550" ht="15.75" customHeight="1" s="66">
      <c r="C550" s="37" t="n"/>
    </row>
    <row r="551" ht="15.75" customHeight="1" s="66">
      <c r="C551" s="37" t="n"/>
    </row>
    <row r="552" ht="15.75" customHeight="1" s="66">
      <c r="C552" s="37" t="n"/>
    </row>
    <row r="553" ht="15.75" customHeight="1" s="66">
      <c r="C553" s="37" t="n"/>
    </row>
    <row r="554" ht="15.75" customHeight="1" s="66">
      <c r="C554" s="37" t="n"/>
    </row>
    <row r="555" ht="15.75" customHeight="1" s="66">
      <c r="C555" s="37" t="n"/>
    </row>
    <row r="556" ht="15.75" customHeight="1" s="66">
      <c r="C556" s="37" t="n"/>
    </row>
    <row r="557" ht="15.75" customHeight="1" s="66">
      <c r="C557" s="37" t="n"/>
    </row>
    <row r="558" ht="15.75" customHeight="1" s="66">
      <c r="C558" s="37" t="n"/>
    </row>
    <row r="559" ht="15.75" customHeight="1" s="66">
      <c r="C559" s="37" t="n"/>
    </row>
    <row r="560" ht="15.75" customHeight="1" s="66">
      <c r="C560" s="37" t="n"/>
    </row>
    <row r="561" ht="15.75" customHeight="1" s="66">
      <c r="C561" s="37" t="n"/>
    </row>
    <row r="562" ht="15.75" customHeight="1" s="66">
      <c r="C562" s="37" t="n"/>
    </row>
    <row r="563" ht="15.75" customHeight="1" s="66">
      <c r="C563" s="37" t="n"/>
    </row>
    <row r="564" ht="15.75" customHeight="1" s="66">
      <c r="C564" s="37" t="n"/>
    </row>
    <row r="565" ht="15.75" customHeight="1" s="66">
      <c r="C565" s="37" t="n"/>
    </row>
    <row r="566" ht="15.75" customHeight="1" s="66">
      <c r="C566" s="37" t="n"/>
    </row>
    <row r="567" ht="15.75" customHeight="1" s="66">
      <c r="C567" s="37" t="n"/>
    </row>
    <row r="568" ht="15.75" customHeight="1" s="66">
      <c r="C568" s="37" t="n"/>
    </row>
    <row r="569" ht="15.75" customHeight="1" s="66">
      <c r="C569" s="37" t="n"/>
    </row>
    <row r="570" ht="15.75" customHeight="1" s="66">
      <c r="C570" s="37" t="n"/>
    </row>
    <row r="571" ht="15.75" customHeight="1" s="66">
      <c r="C571" s="37" t="n"/>
    </row>
    <row r="572" ht="15.75" customHeight="1" s="66">
      <c r="C572" s="37" t="n"/>
    </row>
    <row r="573" ht="15.75" customHeight="1" s="66">
      <c r="C573" s="37" t="n"/>
    </row>
    <row r="574" ht="15.75" customHeight="1" s="66">
      <c r="C574" s="37" t="n"/>
    </row>
    <row r="575" ht="15.75" customHeight="1" s="66">
      <c r="C575" s="37" t="n"/>
    </row>
    <row r="576" ht="15.75" customHeight="1" s="66">
      <c r="C576" s="37" t="n"/>
    </row>
    <row r="577" ht="15.75" customHeight="1" s="66">
      <c r="C577" s="37" t="n"/>
    </row>
    <row r="578" ht="15.75" customHeight="1" s="66">
      <c r="C578" s="37" t="n"/>
    </row>
    <row r="579" ht="15.75" customHeight="1" s="66">
      <c r="C579" s="37" t="n"/>
    </row>
    <row r="580" ht="15.75" customHeight="1" s="66">
      <c r="C580" s="37" t="n"/>
    </row>
    <row r="581" ht="15.75" customHeight="1" s="66">
      <c r="C581" s="37" t="n"/>
    </row>
    <row r="582" ht="15.75" customHeight="1" s="66">
      <c r="C582" s="37" t="n"/>
    </row>
    <row r="583" ht="15.75" customHeight="1" s="66">
      <c r="C583" s="37" t="n"/>
    </row>
    <row r="584" ht="15.75" customHeight="1" s="66">
      <c r="C584" s="37" t="n"/>
    </row>
    <row r="585" ht="15.75" customHeight="1" s="66">
      <c r="C585" s="37" t="n"/>
    </row>
    <row r="586" ht="15.75" customHeight="1" s="66">
      <c r="C586" s="37" t="n"/>
    </row>
    <row r="587" ht="15.75" customHeight="1" s="66">
      <c r="C587" s="37" t="n"/>
    </row>
    <row r="588" ht="15.75" customHeight="1" s="66">
      <c r="C588" s="37" t="n"/>
    </row>
    <row r="589" ht="15.75" customHeight="1" s="66">
      <c r="C589" s="37" t="n"/>
    </row>
    <row r="590" ht="15.75" customHeight="1" s="66">
      <c r="C590" s="37" t="n"/>
    </row>
    <row r="591" ht="15.75" customHeight="1" s="66">
      <c r="C591" s="37" t="n"/>
    </row>
    <row r="592" ht="15.75" customHeight="1" s="66">
      <c r="C592" s="37" t="n"/>
    </row>
    <row r="593" ht="15.75" customHeight="1" s="66">
      <c r="C593" s="37" t="n"/>
    </row>
    <row r="594" ht="15.75" customHeight="1" s="66">
      <c r="C594" s="37" t="n"/>
    </row>
    <row r="595" ht="15.75" customHeight="1" s="66">
      <c r="C595" s="37" t="n"/>
    </row>
    <row r="596" ht="15.75" customHeight="1" s="66">
      <c r="C596" s="37" t="n"/>
    </row>
    <row r="597" ht="15.75" customHeight="1" s="66">
      <c r="C597" s="37" t="n"/>
    </row>
    <row r="598" ht="15.75" customHeight="1" s="66">
      <c r="C598" s="37" t="n"/>
    </row>
    <row r="599" ht="15.75" customHeight="1" s="66">
      <c r="C599" s="37" t="n"/>
    </row>
    <row r="600" ht="15.75" customHeight="1" s="66">
      <c r="C600" s="37" t="n"/>
    </row>
    <row r="601" ht="15.75" customHeight="1" s="66">
      <c r="C601" s="37" t="n"/>
    </row>
    <row r="602" ht="15.75" customHeight="1" s="66">
      <c r="C602" s="37" t="n"/>
    </row>
    <row r="603" ht="15.75" customHeight="1" s="66">
      <c r="C603" s="37" t="n"/>
    </row>
    <row r="604" ht="15.75" customHeight="1" s="66">
      <c r="C604" s="37" t="n"/>
    </row>
    <row r="605" ht="15.75" customHeight="1" s="66">
      <c r="C605" s="37" t="n"/>
    </row>
    <row r="606" ht="15.75" customHeight="1" s="66">
      <c r="C606" s="37" t="n"/>
    </row>
    <row r="607" ht="15.75" customHeight="1" s="66">
      <c r="C607" s="37" t="n"/>
    </row>
    <row r="608" ht="15.75" customHeight="1" s="66">
      <c r="C608" s="37" t="n"/>
    </row>
    <row r="609" ht="15.75" customHeight="1" s="66">
      <c r="C609" s="37" t="n"/>
    </row>
    <row r="610" ht="15.75" customHeight="1" s="66">
      <c r="C610" s="37" t="n"/>
    </row>
    <row r="611" ht="15.75" customHeight="1" s="66">
      <c r="C611" s="37" t="n"/>
    </row>
    <row r="612" ht="15.75" customHeight="1" s="66">
      <c r="C612" s="37" t="n"/>
    </row>
    <row r="613" ht="15.75" customHeight="1" s="66">
      <c r="C613" s="37" t="n"/>
    </row>
    <row r="614" ht="15.75" customHeight="1" s="66">
      <c r="C614" s="37" t="n"/>
    </row>
    <row r="615" ht="15.75" customHeight="1" s="66">
      <c r="C615" s="37" t="n"/>
    </row>
    <row r="616" ht="15.75" customHeight="1" s="66">
      <c r="C616" s="37" t="n"/>
    </row>
    <row r="617" ht="15.75" customHeight="1" s="66">
      <c r="C617" s="37" t="n"/>
    </row>
    <row r="618" ht="15.75" customHeight="1" s="66">
      <c r="C618" s="37" t="n"/>
    </row>
    <row r="619" ht="15.75" customHeight="1" s="66">
      <c r="C619" s="37" t="n"/>
    </row>
    <row r="620" ht="15.75" customHeight="1" s="66">
      <c r="C620" s="37" t="n"/>
    </row>
    <row r="621" ht="15.75" customHeight="1" s="66">
      <c r="C621" s="37" t="n"/>
    </row>
    <row r="622" ht="15.75" customHeight="1" s="66">
      <c r="C622" s="37" t="n"/>
    </row>
    <row r="623" ht="15.75" customHeight="1" s="66">
      <c r="C623" s="37" t="n"/>
    </row>
    <row r="624" ht="15.75" customHeight="1" s="66">
      <c r="C624" s="37" t="n"/>
    </row>
    <row r="625" ht="15.75" customHeight="1" s="66">
      <c r="C625" s="37" t="n"/>
    </row>
    <row r="626" ht="15.75" customHeight="1" s="66">
      <c r="C626" s="37" t="n"/>
    </row>
    <row r="627" ht="15.75" customHeight="1" s="66">
      <c r="C627" s="37" t="n"/>
    </row>
    <row r="628" ht="15.75" customHeight="1" s="66">
      <c r="C628" s="37" t="n"/>
    </row>
    <row r="629" ht="15.75" customHeight="1" s="66">
      <c r="C629" s="37" t="n"/>
    </row>
    <row r="630" ht="15.75" customHeight="1" s="66">
      <c r="C630" s="37" t="n"/>
    </row>
    <row r="631" ht="15.75" customHeight="1" s="66">
      <c r="C631" s="37" t="n"/>
    </row>
    <row r="632" ht="15.75" customHeight="1" s="66">
      <c r="C632" s="37" t="n"/>
    </row>
    <row r="633" ht="15.75" customHeight="1" s="66">
      <c r="C633" s="37" t="n"/>
    </row>
    <row r="634" ht="15.75" customHeight="1" s="66">
      <c r="C634" s="37" t="n"/>
    </row>
    <row r="635" ht="15.75" customHeight="1" s="66">
      <c r="C635" s="37" t="n"/>
    </row>
    <row r="636" ht="15.75" customHeight="1" s="66">
      <c r="C636" s="37" t="n"/>
    </row>
    <row r="637" ht="15.75" customHeight="1" s="66">
      <c r="C637" s="37" t="n"/>
    </row>
    <row r="638" ht="15.75" customHeight="1" s="66">
      <c r="C638" s="37" t="n"/>
    </row>
    <row r="639" ht="15.75" customHeight="1" s="66">
      <c r="C639" s="37" t="n"/>
    </row>
    <row r="640" ht="15.75" customHeight="1" s="66">
      <c r="C640" s="37" t="n"/>
    </row>
    <row r="641" ht="15.75" customHeight="1" s="66">
      <c r="C641" s="37" t="n"/>
    </row>
    <row r="642" ht="15.75" customHeight="1" s="66">
      <c r="C642" s="37" t="n"/>
    </row>
    <row r="643" ht="15.75" customHeight="1" s="66">
      <c r="C643" s="37" t="n"/>
    </row>
    <row r="644" ht="15.75" customHeight="1" s="66">
      <c r="C644" s="37" t="n"/>
    </row>
    <row r="645" ht="15.75" customHeight="1" s="66">
      <c r="C645" s="37" t="n"/>
    </row>
    <row r="646" ht="15.75" customHeight="1" s="66">
      <c r="C646" s="37" t="n"/>
    </row>
    <row r="647" ht="15.75" customHeight="1" s="66">
      <c r="C647" s="37" t="n"/>
    </row>
    <row r="648" ht="15.75" customHeight="1" s="66">
      <c r="C648" s="37" t="n"/>
    </row>
    <row r="649" ht="15.75" customHeight="1" s="66">
      <c r="C649" s="37" t="n"/>
    </row>
    <row r="650" ht="15.75" customHeight="1" s="66">
      <c r="C650" s="37" t="n"/>
    </row>
    <row r="651" ht="15.75" customHeight="1" s="66">
      <c r="C651" s="37" t="n"/>
    </row>
    <row r="652" ht="15.75" customHeight="1" s="66">
      <c r="C652" s="37" t="n"/>
    </row>
    <row r="653" ht="15.75" customHeight="1" s="66">
      <c r="C653" s="37" t="n"/>
    </row>
    <row r="654" ht="15.75" customHeight="1" s="66">
      <c r="C654" s="37" t="n"/>
    </row>
    <row r="655" ht="15.75" customHeight="1" s="66">
      <c r="C655" s="37" t="n"/>
    </row>
    <row r="656" ht="15.75" customHeight="1" s="66">
      <c r="C656" s="37" t="n"/>
    </row>
    <row r="657" ht="15.75" customHeight="1" s="66">
      <c r="C657" s="37" t="n"/>
    </row>
    <row r="658" ht="15.75" customHeight="1" s="66">
      <c r="C658" s="37" t="n"/>
    </row>
    <row r="659" ht="15.75" customHeight="1" s="66">
      <c r="C659" s="37" t="n"/>
    </row>
    <row r="660" ht="15.75" customHeight="1" s="66">
      <c r="C660" s="37" t="n"/>
    </row>
    <row r="661" ht="15.75" customHeight="1" s="66">
      <c r="C661" s="37" t="n"/>
    </row>
    <row r="662" ht="15.75" customHeight="1" s="66">
      <c r="C662" s="37" t="n"/>
    </row>
    <row r="663" ht="15.75" customHeight="1" s="66">
      <c r="C663" s="37" t="n"/>
    </row>
    <row r="664" ht="15.75" customHeight="1" s="66">
      <c r="C664" s="37" t="n"/>
    </row>
    <row r="665" ht="15.75" customHeight="1" s="66">
      <c r="C665" s="37" t="n"/>
    </row>
    <row r="666" ht="15.75" customHeight="1" s="66">
      <c r="C666" s="37" t="n"/>
    </row>
    <row r="667" ht="15.75" customHeight="1" s="66">
      <c r="C667" s="37" t="n"/>
    </row>
    <row r="668" ht="15.75" customHeight="1" s="66">
      <c r="C668" s="37" t="n"/>
    </row>
    <row r="669" ht="15.75" customHeight="1" s="66">
      <c r="C669" s="37" t="n"/>
    </row>
    <row r="670" ht="15.75" customHeight="1" s="66">
      <c r="C670" s="37" t="n"/>
    </row>
    <row r="671" ht="15.75" customHeight="1" s="66">
      <c r="C671" s="37" t="n"/>
    </row>
    <row r="672" ht="15.75" customHeight="1" s="66">
      <c r="C672" s="37" t="n"/>
    </row>
    <row r="673" ht="15.75" customHeight="1" s="66">
      <c r="C673" s="37" t="n"/>
    </row>
    <row r="674" ht="15.75" customHeight="1" s="66">
      <c r="C674" s="37" t="n"/>
    </row>
    <row r="675" ht="15.75" customHeight="1" s="66">
      <c r="C675" s="37" t="n"/>
    </row>
    <row r="676" ht="15.75" customHeight="1" s="66">
      <c r="C676" s="37" t="n"/>
    </row>
    <row r="677" ht="15.75" customHeight="1" s="66">
      <c r="C677" s="37" t="n"/>
    </row>
    <row r="678" ht="15.75" customHeight="1" s="66">
      <c r="C678" s="37" t="n"/>
    </row>
    <row r="679" ht="15.75" customHeight="1" s="66">
      <c r="C679" s="37" t="n"/>
    </row>
    <row r="680" ht="15.75" customHeight="1" s="66">
      <c r="C680" s="37" t="n"/>
    </row>
    <row r="681" ht="15.75" customHeight="1" s="66">
      <c r="C681" s="37" t="n"/>
    </row>
    <row r="682" ht="15.75" customHeight="1" s="66">
      <c r="C682" s="37" t="n"/>
    </row>
    <row r="683" ht="15.75" customHeight="1" s="66">
      <c r="C683" s="37" t="n"/>
    </row>
    <row r="684" ht="15.75" customHeight="1" s="66">
      <c r="C684" s="37" t="n"/>
    </row>
    <row r="685" ht="15.75" customHeight="1" s="66">
      <c r="C685" s="37" t="n"/>
    </row>
    <row r="686" ht="15.75" customHeight="1" s="66">
      <c r="C686" s="37" t="n"/>
    </row>
    <row r="687" ht="15.75" customHeight="1" s="66">
      <c r="C687" s="37" t="n"/>
    </row>
    <row r="688" ht="15.75" customHeight="1" s="66">
      <c r="C688" s="37" t="n"/>
    </row>
    <row r="689" ht="15.75" customHeight="1" s="66">
      <c r="C689" s="37" t="n"/>
    </row>
    <row r="690" ht="15.75" customHeight="1" s="66">
      <c r="C690" s="37" t="n"/>
    </row>
    <row r="691" ht="15.75" customHeight="1" s="66">
      <c r="C691" s="37" t="n"/>
    </row>
    <row r="692" ht="15.75" customHeight="1" s="66">
      <c r="C692" s="37" t="n"/>
    </row>
    <row r="693" ht="15.75" customHeight="1" s="66">
      <c r="C693" s="37" t="n"/>
    </row>
    <row r="694" ht="15.75" customHeight="1" s="66">
      <c r="C694" s="37" t="n"/>
    </row>
    <row r="695" ht="15.75" customHeight="1" s="66">
      <c r="C695" s="37" t="n"/>
    </row>
    <row r="696" ht="15.75" customHeight="1" s="66">
      <c r="C696" s="37" t="n"/>
    </row>
    <row r="697" ht="15.75" customHeight="1" s="66">
      <c r="C697" s="37" t="n"/>
    </row>
    <row r="698" ht="15.75" customHeight="1" s="66">
      <c r="C698" s="37" t="n"/>
    </row>
    <row r="699" ht="15.75" customHeight="1" s="66">
      <c r="C699" s="37" t="n"/>
    </row>
    <row r="700" ht="15.75" customHeight="1" s="66">
      <c r="C700" s="37" t="n"/>
    </row>
    <row r="701" ht="15.75" customHeight="1" s="66">
      <c r="C701" s="37" t="n"/>
    </row>
    <row r="702" ht="15.75" customHeight="1" s="66">
      <c r="C702" s="37" t="n"/>
    </row>
    <row r="703" ht="15.75" customHeight="1" s="66">
      <c r="C703" s="37" t="n"/>
    </row>
    <row r="704" ht="15.75" customHeight="1" s="66">
      <c r="C704" s="37" t="n"/>
    </row>
    <row r="705" ht="15.75" customHeight="1" s="66">
      <c r="C705" s="37" t="n"/>
    </row>
    <row r="706" ht="15.75" customHeight="1" s="66">
      <c r="C706" s="37" t="n"/>
    </row>
    <row r="707" ht="15.75" customHeight="1" s="66">
      <c r="C707" s="37" t="n"/>
    </row>
    <row r="708" ht="15.75" customHeight="1" s="66">
      <c r="C708" s="37" t="n"/>
    </row>
    <row r="709" ht="15.75" customHeight="1" s="66">
      <c r="C709" s="37" t="n"/>
    </row>
    <row r="710" ht="15.75" customHeight="1" s="66">
      <c r="C710" s="37" t="n"/>
    </row>
    <row r="711" ht="15.75" customHeight="1" s="66">
      <c r="C711" s="37" t="n"/>
    </row>
    <row r="712" ht="15.75" customHeight="1" s="66">
      <c r="C712" s="37" t="n"/>
    </row>
    <row r="713" ht="15.75" customHeight="1" s="66">
      <c r="C713" s="37" t="n"/>
    </row>
    <row r="714" ht="15.75" customHeight="1" s="66">
      <c r="C714" s="37" t="n"/>
    </row>
    <row r="715" ht="15.75" customHeight="1" s="66">
      <c r="C715" s="37" t="n"/>
    </row>
    <row r="716" ht="15.75" customHeight="1" s="66">
      <c r="C716" s="37" t="n"/>
    </row>
    <row r="717" ht="15.75" customHeight="1" s="66">
      <c r="C717" s="37" t="n"/>
    </row>
    <row r="718" ht="15.75" customHeight="1" s="66">
      <c r="C718" s="37" t="n"/>
    </row>
    <row r="719" ht="15.75" customHeight="1" s="66">
      <c r="C719" s="37" t="n"/>
    </row>
    <row r="720" ht="15.75" customHeight="1" s="66">
      <c r="C720" s="37" t="n"/>
    </row>
    <row r="721" ht="15.75" customHeight="1" s="66">
      <c r="C721" s="37" t="n"/>
    </row>
    <row r="722" ht="15.75" customHeight="1" s="66">
      <c r="C722" s="37" t="n"/>
    </row>
    <row r="723" ht="15.75" customHeight="1" s="66">
      <c r="C723" s="37" t="n"/>
    </row>
    <row r="724" ht="15.75" customHeight="1" s="66">
      <c r="C724" s="37" t="n"/>
    </row>
    <row r="725" ht="15.75" customHeight="1" s="66">
      <c r="C725" s="37" t="n"/>
    </row>
    <row r="726" ht="15.75" customHeight="1" s="66">
      <c r="C726" s="37" t="n"/>
    </row>
    <row r="727" ht="15.75" customHeight="1" s="66">
      <c r="C727" s="37" t="n"/>
    </row>
    <row r="728" ht="15.75" customHeight="1" s="66">
      <c r="C728" s="37" t="n"/>
    </row>
    <row r="729" ht="15.75" customHeight="1" s="66">
      <c r="C729" s="37" t="n"/>
    </row>
    <row r="730" ht="15.75" customHeight="1" s="66">
      <c r="C730" s="37" t="n"/>
    </row>
    <row r="731" ht="15.75" customHeight="1" s="66">
      <c r="C731" s="37" t="n"/>
    </row>
    <row r="732" ht="15.75" customHeight="1" s="66">
      <c r="C732" s="37" t="n"/>
    </row>
    <row r="733" ht="15.75" customHeight="1" s="66">
      <c r="C733" s="37" t="n"/>
    </row>
    <row r="734" ht="15.75" customHeight="1" s="66">
      <c r="C734" s="37" t="n"/>
    </row>
    <row r="735" ht="15.75" customHeight="1" s="66">
      <c r="C735" s="37" t="n"/>
    </row>
    <row r="736" ht="15.75" customHeight="1" s="66">
      <c r="C736" s="37" t="n"/>
    </row>
    <row r="737" ht="15.75" customHeight="1" s="66">
      <c r="C737" s="37" t="n"/>
    </row>
    <row r="738" ht="15.75" customHeight="1" s="66">
      <c r="C738" s="37" t="n"/>
    </row>
    <row r="739" ht="15.75" customHeight="1" s="66">
      <c r="C739" s="37" t="n"/>
    </row>
    <row r="740" ht="15.75" customHeight="1" s="66">
      <c r="C740" s="37" t="n"/>
    </row>
    <row r="741" ht="15.75" customHeight="1" s="66">
      <c r="C741" s="37" t="n"/>
    </row>
    <row r="742" ht="15.75" customHeight="1" s="66">
      <c r="C742" s="37" t="n"/>
    </row>
    <row r="743" ht="15.75" customHeight="1" s="66">
      <c r="C743" s="37" t="n"/>
    </row>
    <row r="744" ht="15.75" customHeight="1" s="66">
      <c r="C744" s="37" t="n"/>
    </row>
    <row r="745" ht="15.75" customHeight="1" s="66">
      <c r="C745" s="37" t="n"/>
    </row>
    <row r="746" ht="15.75" customHeight="1" s="66">
      <c r="C746" s="37" t="n"/>
    </row>
    <row r="747" ht="15.75" customHeight="1" s="66">
      <c r="C747" s="37" t="n"/>
    </row>
    <row r="748" ht="15.75" customHeight="1" s="66">
      <c r="C748" s="37" t="n"/>
    </row>
    <row r="749" ht="15.75" customHeight="1" s="66">
      <c r="C749" s="37" t="n"/>
    </row>
    <row r="750" ht="15.75" customHeight="1" s="66">
      <c r="C750" s="37" t="n"/>
    </row>
    <row r="751" ht="15.75" customHeight="1" s="66">
      <c r="C751" s="37" t="n"/>
    </row>
    <row r="752" ht="15.75" customHeight="1" s="66">
      <c r="C752" s="37" t="n"/>
    </row>
    <row r="753" ht="15.75" customHeight="1" s="66">
      <c r="C753" s="37" t="n"/>
    </row>
    <row r="754" ht="15.75" customHeight="1" s="66">
      <c r="C754" s="37" t="n"/>
    </row>
    <row r="755" ht="15.75" customHeight="1" s="66">
      <c r="C755" s="37" t="n"/>
    </row>
    <row r="756" ht="15.75" customHeight="1" s="66">
      <c r="C756" s="37" t="n"/>
    </row>
    <row r="757" ht="15.75" customHeight="1" s="66">
      <c r="C757" s="37" t="n"/>
    </row>
    <row r="758" ht="15.75" customHeight="1" s="66">
      <c r="C758" s="37" t="n"/>
    </row>
    <row r="759" ht="15.75" customHeight="1" s="66">
      <c r="C759" s="37" t="n"/>
    </row>
    <row r="760" ht="15.75" customHeight="1" s="66">
      <c r="C760" s="37" t="n"/>
    </row>
    <row r="761" ht="15.75" customHeight="1" s="66">
      <c r="C761" s="37" t="n"/>
    </row>
    <row r="762" ht="15.75" customHeight="1" s="66">
      <c r="C762" s="37" t="n"/>
    </row>
    <row r="763" ht="15.75" customHeight="1" s="66">
      <c r="C763" s="37" t="n"/>
    </row>
    <row r="764" ht="15.75" customHeight="1" s="66">
      <c r="C764" s="37" t="n"/>
    </row>
    <row r="765" ht="15.75" customHeight="1" s="66">
      <c r="C765" s="37" t="n"/>
    </row>
    <row r="766" ht="15.75" customHeight="1" s="66">
      <c r="C766" s="37" t="n"/>
    </row>
    <row r="767" ht="15.75" customHeight="1" s="66">
      <c r="C767" s="37" t="n"/>
    </row>
    <row r="768" ht="15.75" customHeight="1" s="66">
      <c r="C768" s="37" t="n"/>
    </row>
    <row r="769" ht="15.75" customHeight="1" s="66">
      <c r="C769" s="37" t="n"/>
    </row>
    <row r="770" ht="15.75" customHeight="1" s="66">
      <c r="C770" s="37" t="n"/>
    </row>
    <row r="771" ht="15.75" customHeight="1" s="66">
      <c r="C771" s="37" t="n"/>
    </row>
    <row r="772" ht="15.75" customHeight="1" s="66">
      <c r="C772" s="37" t="n"/>
    </row>
    <row r="773" ht="15.75" customHeight="1" s="66">
      <c r="C773" s="37" t="n"/>
    </row>
    <row r="774" ht="15.75" customHeight="1" s="66">
      <c r="C774" s="37" t="n"/>
    </row>
    <row r="775" ht="15.75" customHeight="1" s="66">
      <c r="C775" s="37" t="n"/>
    </row>
    <row r="776" ht="15.75" customHeight="1" s="66">
      <c r="C776" s="37" t="n"/>
    </row>
    <row r="777" ht="15.75" customHeight="1" s="66">
      <c r="C777" s="37" t="n"/>
    </row>
    <row r="778" ht="15.75" customHeight="1" s="66">
      <c r="C778" s="37" t="n"/>
    </row>
    <row r="779" ht="15.75" customHeight="1" s="66">
      <c r="C779" s="37" t="n"/>
    </row>
    <row r="780" ht="15.75" customHeight="1" s="66">
      <c r="C780" s="37" t="n"/>
    </row>
    <row r="781" ht="15.75" customHeight="1" s="66">
      <c r="C781" s="37" t="n"/>
    </row>
    <row r="782" ht="15.75" customHeight="1" s="66">
      <c r="C782" s="37" t="n"/>
    </row>
    <row r="783" ht="15.75" customHeight="1" s="66">
      <c r="C783" s="37" t="n"/>
    </row>
    <row r="784" ht="15.75" customHeight="1" s="66">
      <c r="C784" s="37" t="n"/>
    </row>
    <row r="785" ht="15.75" customHeight="1" s="66">
      <c r="C785" s="37" t="n"/>
    </row>
    <row r="786" ht="15.75" customHeight="1" s="66">
      <c r="C786" s="37" t="n"/>
    </row>
    <row r="787" ht="15.75" customHeight="1" s="66">
      <c r="C787" s="37" t="n"/>
    </row>
    <row r="788" ht="15.75" customHeight="1" s="66">
      <c r="C788" s="37" t="n"/>
    </row>
    <row r="789" ht="15.75" customHeight="1" s="66">
      <c r="C789" s="37" t="n"/>
    </row>
    <row r="790" ht="15.75" customHeight="1" s="66">
      <c r="C790" s="37" t="n"/>
    </row>
    <row r="791" ht="15.75" customHeight="1" s="66">
      <c r="C791" s="37" t="n"/>
    </row>
    <row r="792" ht="15.75" customHeight="1" s="66">
      <c r="C792" s="37" t="n"/>
    </row>
    <row r="793" ht="15.75" customHeight="1" s="66">
      <c r="C793" s="37" t="n"/>
    </row>
    <row r="794" ht="15.75" customHeight="1" s="66">
      <c r="C794" s="37" t="n"/>
    </row>
    <row r="795" ht="15.75" customHeight="1" s="66">
      <c r="C795" s="37" t="n"/>
    </row>
    <row r="796" ht="15.75" customHeight="1" s="66">
      <c r="C796" s="37" t="n"/>
    </row>
    <row r="797" ht="15.75" customHeight="1" s="66">
      <c r="C797" s="37" t="n"/>
    </row>
    <row r="798" ht="15.75" customHeight="1" s="66">
      <c r="C798" s="37" t="n"/>
    </row>
    <row r="799" ht="15.75" customHeight="1" s="66">
      <c r="C799" s="37" t="n"/>
    </row>
    <row r="800" ht="15.75" customHeight="1" s="66">
      <c r="C800" s="37" t="n"/>
    </row>
    <row r="801" ht="15.75" customHeight="1" s="66">
      <c r="C801" s="37" t="n"/>
    </row>
    <row r="802" ht="15.75" customHeight="1" s="66">
      <c r="C802" s="37" t="n"/>
    </row>
    <row r="803" ht="15.75" customHeight="1" s="66">
      <c r="C803" s="37" t="n"/>
    </row>
    <row r="804" ht="15.75" customHeight="1" s="66">
      <c r="C804" s="37" t="n"/>
    </row>
    <row r="805" ht="15.75" customHeight="1" s="66">
      <c r="C805" s="37" t="n"/>
    </row>
    <row r="806" ht="15.75" customHeight="1" s="66">
      <c r="C806" s="37" t="n"/>
    </row>
    <row r="807" ht="15.75" customHeight="1" s="66">
      <c r="C807" s="37" t="n"/>
    </row>
    <row r="808" ht="15.75" customHeight="1" s="66">
      <c r="C808" s="37" t="n"/>
    </row>
    <row r="809" ht="15.75" customHeight="1" s="66">
      <c r="C809" s="37" t="n"/>
    </row>
    <row r="810" ht="15.75" customHeight="1" s="66">
      <c r="C810" s="37" t="n"/>
    </row>
    <row r="811" ht="15.75" customHeight="1" s="66">
      <c r="C811" s="37" t="n"/>
    </row>
    <row r="812" ht="15.75" customHeight="1" s="66">
      <c r="C812" s="37" t="n"/>
    </row>
    <row r="813" ht="15.75" customHeight="1" s="66">
      <c r="C813" s="37" t="n"/>
    </row>
    <row r="814" ht="15.75" customHeight="1" s="66">
      <c r="C814" s="37" t="n"/>
    </row>
    <row r="815" ht="15.75" customHeight="1" s="66">
      <c r="C815" s="37" t="n"/>
    </row>
    <row r="816" ht="15.75" customHeight="1" s="66">
      <c r="C816" s="37" t="n"/>
    </row>
    <row r="817" ht="15.75" customHeight="1" s="66">
      <c r="C817" s="37" t="n"/>
    </row>
    <row r="818" ht="15.75" customHeight="1" s="66">
      <c r="C818" s="37" t="n"/>
    </row>
    <row r="819" ht="15.75" customHeight="1" s="66">
      <c r="C819" s="37" t="n"/>
    </row>
    <row r="820" ht="15.75" customHeight="1" s="66">
      <c r="C820" s="37" t="n"/>
    </row>
    <row r="821" ht="15.75" customHeight="1" s="66">
      <c r="C821" s="37" t="n"/>
    </row>
    <row r="822" ht="15.75" customHeight="1" s="66">
      <c r="C822" s="37" t="n"/>
    </row>
    <row r="823" ht="15.75" customHeight="1" s="66">
      <c r="C823" s="37" t="n"/>
    </row>
    <row r="824" ht="15.75" customHeight="1" s="66">
      <c r="C824" s="37" t="n"/>
    </row>
    <row r="825" ht="15.75" customHeight="1" s="66">
      <c r="C825" s="37" t="n"/>
    </row>
    <row r="826" ht="15.75" customHeight="1" s="66">
      <c r="C826" s="37" t="n"/>
    </row>
    <row r="827" ht="15.75" customHeight="1" s="66">
      <c r="C827" s="37" t="n"/>
    </row>
    <row r="828" ht="15.75" customHeight="1" s="66">
      <c r="C828" s="37" t="n"/>
    </row>
    <row r="829" ht="15.75" customHeight="1" s="66">
      <c r="C829" s="37" t="n"/>
    </row>
    <row r="830" ht="15.75" customHeight="1" s="66">
      <c r="C830" s="37" t="n"/>
    </row>
    <row r="831" ht="15.75" customHeight="1" s="66">
      <c r="C831" s="37" t="n"/>
    </row>
    <row r="832" ht="15.75" customHeight="1" s="66">
      <c r="C832" s="37" t="n"/>
    </row>
    <row r="833" ht="15.75" customHeight="1" s="66">
      <c r="C833" s="37" t="n"/>
    </row>
    <row r="834" ht="15.75" customHeight="1" s="66">
      <c r="C834" s="37" t="n"/>
    </row>
    <row r="835" ht="15.75" customHeight="1" s="66">
      <c r="C835" s="37" t="n"/>
    </row>
    <row r="836" ht="15.75" customHeight="1" s="66">
      <c r="C836" s="37" t="n"/>
    </row>
    <row r="837" ht="15.75" customHeight="1" s="66">
      <c r="C837" s="37" t="n"/>
    </row>
    <row r="838" ht="15.75" customHeight="1" s="66">
      <c r="C838" s="37" t="n"/>
    </row>
    <row r="839" ht="15.75" customHeight="1" s="66">
      <c r="C839" s="37" t="n"/>
    </row>
    <row r="840" ht="15.75" customHeight="1" s="66">
      <c r="C840" s="37" t="n"/>
    </row>
    <row r="841" ht="15.75" customHeight="1" s="66">
      <c r="C841" s="37" t="n"/>
    </row>
    <row r="842" ht="15.75" customHeight="1" s="66">
      <c r="C842" s="37" t="n"/>
    </row>
    <row r="843" ht="15.75" customHeight="1" s="66">
      <c r="C843" s="37" t="n"/>
    </row>
    <row r="844" ht="15.75" customHeight="1" s="66">
      <c r="C844" s="37" t="n"/>
    </row>
    <row r="845" ht="15.75" customHeight="1" s="66">
      <c r="C845" s="37" t="n"/>
    </row>
    <row r="846" ht="15.75" customHeight="1" s="66">
      <c r="C846" s="37" t="n"/>
    </row>
    <row r="847" ht="15.75" customHeight="1" s="66">
      <c r="C847" s="37" t="n"/>
    </row>
    <row r="848" ht="15.75" customHeight="1" s="66">
      <c r="C848" s="37" t="n"/>
    </row>
    <row r="849" ht="15.75" customHeight="1" s="66">
      <c r="C849" s="37" t="n"/>
    </row>
    <row r="850" ht="15.75" customHeight="1" s="66">
      <c r="C850" s="37" t="n"/>
    </row>
    <row r="851" ht="15.75" customHeight="1" s="66">
      <c r="C851" s="37" t="n"/>
    </row>
    <row r="852" ht="15.75" customHeight="1" s="66">
      <c r="C852" s="37" t="n"/>
    </row>
    <row r="853" ht="15.75" customHeight="1" s="66">
      <c r="C853" s="37" t="n"/>
    </row>
    <row r="854" ht="15.75" customHeight="1" s="66">
      <c r="C854" s="37" t="n"/>
    </row>
    <row r="855" ht="15.75" customHeight="1" s="66">
      <c r="C855" s="37" t="n"/>
    </row>
    <row r="856" ht="15.75" customHeight="1" s="66">
      <c r="C856" s="37" t="n"/>
    </row>
    <row r="857" ht="15.75" customHeight="1" s="66">
      <c r="C857" s="37" t="n"/>
    </row>
    <row r="858" ht="15.75" customHeight="1" s="66">
      <c r="C858" s="37" t="n"/>
    </row>
    <row r="859" ht="15.75" customHeight="1" s="66">
      <c r="C859" s="37" t="n"/>
    </row>
    <row r="860" ht="15.75" customHeight="1" s="66">
      <c r="C860" s="37" t="n"/>
    </row>
    <row r="861" ht="15.75" customHeight="1" s="66">
      <c r="C861" s="37" t="n"/>
    </row>
    <row r="862" ht="15.75" customHeight="1" s="66">
      <c r="C862" s="37" t="n"/>
    </row>
    <row r="863" ht="15.75" customHeight="1" s="66">
      <c r="C863" s="37" t="n"/>
    </row>
    <row r="864" ht="15.75" customHeight="1" s="66">
      <c r="C864" s="37" t="n"/>
    </row>
    <row r="865" ht="15.75" customHeight="1" s="66">
      <c r="C865" s="37" t="n"/>
    </row>
    <row r="866" ht="15.75" customHeight="1" s="66">
      <c r="C866" s="37" t="n"/>
    </row>
    <row r="867" ht="15.75" customHeight="1" s="66">
      <c r="C867" s="37" t="n"/>
    </row>
    <row r="868" ht="15.75" customHeight="1" s="66">
      <c r="C868" s="37" t="n"/>
    </row>
    <row r="869" ht="15.75" customHeight="1" s="66">
      <c r="C869" s="37" t="n"/>
    </row>
    <row r="870" ht="15.75" customHeight="1" s="66">
      <c r="C870" s="37" t="n"/>
    </row>
    <row r="871" ht="15.75" customHeight="1" s="66">
      <c r="C871" s="37" t="n"/>
    </row>
    <row r="872" ht="15.75" customHeight="1" s="66">
      <c r="C872" s="37" t="n"/>
    </row>
    <row r="873" ht="15.75" customHeight="1" s="66">
      <c r="C873" s="37" t="n"/>
    </row>
    <row r="874" ht="15.75" customHeight="1" s="66">
      <c r="C874" s="37" t="n"/>
    </row>
    <row r="875" ht="15.75" customHeight="1" s="66">
      <c r="C875" s="37" t="n"/>
    </row>
    <row r="876" ht="15.75" customHeight="1" s="66">
      <c r="C876" s="37" t="n"/>
    </row>
    <row r="877" ht="15.75" customHeight="1" s="66">
      <c r="C877" s="37" t="n"/>
    </row>
    <row r="878" ht="15.75" customHeight="1" s="66">
      <c r="C878" s="37" t="n"/>
    </row>
    <row r="879" ht="15.75" customHeight="1" s="66">
      <c r="C879" s="37" t="n"/>
    </row>
    <row r="880" ht="15.75" customHeight="1" s="66">
      <c r="C880" s="37" t="n"/>
    </row>
    <row r="881" ht="15.75" customHeight="1" s="66">
      <c r="C881" s="37" t="n"/>
    </row>
    <row r="882" ht="15.75" customHeight="1" s="66">
      <c r="C882" s="37" t="n"/>
    </row>
    <row r="883" ht="15.75" customHeight="1" s="66">
      <c r="C883" s="37" t="n"/>
    </row>
    <row r="884" ht="15.75" customHeight="1" s="66">
      <c r="C884" s="37" t="n"/>
    </row>
    <row r="885" ht="15.75" customHeight="1" s="66">
      <c r="C885" s="37" t="n"/>
    </row>
    <row r="886" ht="15.75" customHeight="1" s="66">
      <c r="C886" s="37" t="n"/>
    </row>
    <row r="887" ht="15.75" customHeight="1" s="66">
      <c r="C887" s="37" t="n"/>
    </row>
    <row r="888" ht="15.75" customHeight="1" s="66">
      <c r="C888" s="37" t="n"/>
    </row>
    <row r="889" ht="15.75" customHeight="1" s="66">
      <c r="C889" s="37" t="n"/>
    </row>
    <row r="890" ht="15.75" customHeight="1" s="66">
      <c r="C890" s="37" t="n"/>
    </row>
    <row r="891" ht="15.75" customHeight="1" s="66">
      <c r="C891" s="37" t="n"/>
    </row>
    <row r="892" ht="15.75" customHeight="1" s="66">
      <c r="C892" s="37" t="n"/>
    </row>
    <row r="893" ht="15.75" customHeight="1" s="66">
      <c r="C893" s="37" t="n"/>
    </row>
    <row r="894" ht="15.75" customHeight="1" s="66">
      <c r="C894" s="37" t="n"/>
    </row>
    <row r="895" ht="15.75" customHeight="1" s="66">
      <c r="C895" s="37" t="n"/>
    </row>
    <row r="896" ht="15.75" customHeight="1" s="66">
      <c r="C896" s="37" t="n"/>
    </row>
    <row r="897" ht="15.75" customHeight="1" s="66">
      <c r="C897" s="37" t="n"/>
    </row>
    <row r="898" ht="15.75" customHeight="1" s="66">
      <c r="C898" s="37" t="n"/>
    </row>
    <row r="899" ht="15.75" customHeight="1" s="66">
      <c r="C899" s="37" t="n"/>
    </row>
    <row r="900" ht="15.75" customHeight="1" s="66">
      <c r="C900" s="37" t="n"/>
    </row>
    <row r="901" ht="15.75" customHeight="1" s="66">
      <c r="C901" s="37" t="n"/>
    </row>
    <row r="902" ht="15.75" customHeight="1" s="66">
      <c r="C902" s="37" t="n"/>
    </row>
    <row r="903" ht="15.75" customHeight="1" s="66">
      <c r="C903" s="37" t="n"/>
    </row>
    <row r="904" ht="15.75" customHeight="1" s="66">
      <c r="C904" s="37" t="n"/>
    </row>
    <row r="905" ht="15.75" customHeight="1" s="66">
      <c r="C905" s="37" t="n"/>
    </row>
    <row r="906" ht="15.75" customHeight="1" s="66">
      <c r="C906" s="37" t="n"/>
    </row>
    <row r="907" ht="15.75" customHeight="1" s="66">
      <c r="C907" s="37" t="n"/>
    </row>
    <row r="908" ht="15.75" customHeight="1" s="66">
      <c r="C908" s="37" t="n"/>
    </row>
    <row r="909" ht="15.75" customHeight="1" s="66">
      <c r="C909" s="37" t="n"/>
    </row>
    <row r="910" ht="15.75" customHeight="1" s="66">
      <c r="C910" s="37" t="n"/>
    </row>
    <row r="911" ht="15.75" customHeight="1" s="66">
      <c r="C911" s="37" t="n"/>
    </row>
    <row r="912" ht="15.75" customHeight="1" s="66">
      <c r="C912" s="37" t="n"/>
    </row>
    <row r="913" ht="15.75" customHeight="1" s="66">
      <c r="C913" s="37" t="n"/>
    </row>
    <row r="914" ht="15.75" customHeight="1" s="66">
      <c r="C914" s="37" t="n"/>
    </row>
    <row r="915" ht="15.75" customHeight="1" s="66">
      <c r="C915" s="37" t="n"/>
    </row>
    <row r="916" ht="15.75" customHeight="1" s="66">
      <c r="C916" s="37" t="n"/>
    </row>
    <row r="917" ht="15.75" customHeight="1" s="66">
      <c r="C917" s="37" t="n"/>
    </row>
    <row r="918" ht="15.75" customHeight="1" s="66">
      <c r="C918" s="37" t="n"/>
    </row>
    <row r="919" ht="15.75" customHeight="1" s="66">
      <c r="C919" s="37" t="n"/>
    </row>
    <row r="920" ht="15.75" customHeight="1" s="66">
      <c r="C920" s="37" t="n"/>
    </row>
    <row r="921" ht="15.75" customHeight="1" s="66">
      <c r="C921" s="37" t="n"/>
    </row>
    <row r="922" ht="15.75" customHeight="1" s="66">
      <c r="C922" s="37" t="n"/>
    </row>
    <row r="923" ht="15.75" customHeight="1" s="66">
      <c r="C923" s="37" t="n"/>
    </row>
    <row r="924" ht="15.75" customHeight="1" s="66">
      <c r="C924" s="37" t="n"/>
    </row>
    <row r="925" ht="15.75" customHeight="1" s="66">
      <c r="C925" s="37" t="n"/>
    </row>
    <row r="926" ht="15.75" customHeight="1" s="66">
      <c r="C926" s="37" t="n"/>
    </row>
    <row r="927" ht="15.75" customHeight="1" s="66">
      <c r="C927" s="37" t="n"/>
    </row>
    <row r="928" ht="15.75" customHeight="1" s="66">
      <c r="C928" s="37" t="n"/>
    </row>
    <row r="929" ht="15.75" customHeight="1" s="66">
      <c r="C929" s="37" t="n"/>
    </row>
    <row r="930" ht="15.75" customHeight="1" s="66">
      <c r="C930" s="37" t="n"/>
    </row>
    <row r="931" ht="15.75" customHeight="1" s="66">
      <c r="C931" s="37" t="n"/>
    </row>
    <row r="932" ht="15.75" customHeight="1" s="66">
      <c r="C932" s="37" t="n"/>
    </row>
    <row r="933" ht="15.75" customHeight="1" s="66">
      <c r="C933" s="37" t="n"/>
    </row>
    <row r="934" ht="15.75" customHeight="1" s="66">
      <c r="C934" s="37" t="n"/>
    </row>
    <row r="935" ht="15.75" customHeight="1" s="66">
      <c r="C935" s="37" t="n"/>
    </row>
    <row r="936" ht="15.75" customHeight="1" s="66">
      <c r="C936" s="37" t="n"/>
    </row>
    <row r="937" ht="15.75" customHeight="1" s="66">
      <c r="C937" s="37" t="n"/>
    </row>
    <row r="938" ht="15.75" customHeight="1" s="66">
      <c r="C938" s="37" t="n"/>
    </row>
    <row r="939" ht="15.75" customHeight="1" s="66">
      <c r="C939" s="37" t="n"/>
    </row>
    <row r="940" ht="15.75" customHeight="1" s="66">
      <c r="C940" s="37" t="n"/>
    </row>
    <row r="941" ht="15.75" customHeight="1" s="66">
      <c r="C941" s="37" t="n"/>
    </row>
    <row r="942" ht="15.75" customHeight="1" s="66">
      <c r="C942" s="37" t="n"/>
    </row>
    <row r="943" ht="15.75" customHeight="1" s="66">
      <c r="C943" s="37" t="n"/>
    </row>
    <row r="944" ht="15.75" customHeight="1" s="66">
      <c r="C944" s="37" t="n"/>
    </row>
    <row r="945" ht="15.75" customHeight="1" s="66">
      <c r="C945" s="37" t="n"/>
    </row>
    <row r="946" ht="15.75" customHeight="1" s="66">
      <c r="C946" s="37" t="n"/>
    </row>
    <row r="947" ht="15.75" customHeight="1" s="66">
      <c r="C947" s="37" t="n"/>
    </row>
    <row r="948" ht="15.75" customHeight="1" s="66">
      <c r="C948" s="37" t="n"/>
    </row>
    <row r="949" ht="15.75" customHeight="1" s="66">
      <c r="C949" s="37" t="n"/>
    </row>
    <row r="950" ht="15.75" customHeight="1" s="66">
      <c r="C950" s="37" t="n"/>
    </row>
    <row r="951" ht="15.75" customHeight="1" s="66">
      <c r="C951" s="37" t="n"/>
    </row>
    <row r="952" ht="15.75" customHeight="1" s="66">
      <c r="C952" s="37" t="n"/>
    </row>
    <row r="953" ht="15.75" customHeight="1" s="66">
      <c r="C953" s="37" t="n"/>
    </row>
    <row r="954" ht="15.75" customHeight="1" s="66">
      <c r="C954" s="37" t="n"/>
    </row>
    <row r="955" ht="15.75" customHeight="1" s="66">
      <c r="C955" s="37" t="n"/>
    </row>
    <row r="956" ht="15.75" customHeight="1" s="66">
      <c r="C956" s="37" t="n"/>
    </row>
    <row r="957" ht="15.75" customHeight="1" s="66">
      <c r="C957" s="37" t="n"/>
    </row>
    <row r="958" ht="15.75" customHeight="1" s="66">
      <c r="C958" s="37" t="n"/>
    </row>
    <row r="959" ht="15.75" customHeight="1" s="66">
      <c r="C959" s="37" t="n"/>
    </row>
    <row r="960" ht="15.75" customHeight="1" s="66">
      <c r="C960" s="37" t="n"/>
    </row>
    <row r="961" ht="15.75" customHeight="1" s="66">
      <c r="C961" s="37" t="n"/>
    </row>
    <row r="962" ht="15.75" customHeight="1" s="66">
      <c r="C962" s="37" t="n"/>
    </row>
    <row r="963" ht="15.75" customHeight="1" s="66">
      <c r="C963" s="37" t="n"/>
    </row>
    <row r="964" ht="15.75" customHeight="1" s="66">
      <c r="C964" s="37" t="n"/>
    </row>
    <row r="965" ht="15.75" customHeight="1" s="66">
      <c r="C965" s="37" t="n"/>
    </row>
    <row r="966" ht="15.75" customHeight="1" s="66">
      <c r="C966" s="37" t="n"/>
    </row>
    <row r="967" ht="15.75" customHeight="1" s="66">
      <c r="C967" s="37" t="n"/>
    </row>
    <row r="968" ht="15.75" customHeight="1" s="66">
      <c r="C968" s="37" t="n"/>
    </row>
    <row r="969" ht="15.75" customHeight="1" s="66">
      <c r="C969" s="37" t="n"/>
    </row>
    <row r="970" ht="15.75" customHeight="1" s="66">
      <c r="C970" s="37" t="n"/>
    </row>
    <row r="971" ht="15.75" customHeight="1" s="66">
      <c r="C971" s="37" t="n"/>
    </row>
    <row r="972" ht="15.75" customHeight="1" s="66">
      <c r="C972" s="37" t="n"/>
    </row>
    <row r="973" ht="15.75" customHeight="1" s="66">
      <c r="C973" s="37" t="n"/>
    </row>
    <row r="974" ht="15.75" customHeight="1" s="66">
      <c r="C974" s="37" t="n"/>
    </row>
    <row r="975" ht="15.75" customHeight="1" s="66">
      <c r="C975" s="37" t="n"/>
    </row>
    <row r="976" ht="15.75" customHeight="1" s="66">
      <c r="C976" s="37" t="n"/>
    </row>
    <row r="977" ht="15.75" customHeight="1" s="66">
      <c r="C977" s="37" t="n"/>
    </row>
    <row r="978" ht="15.75" customHeight="1" s="66">
      <c r="C978" s="37" t="n"/>
    </row>
    <row r="979" ht="15.75" customHeight="1" s="66">
      <c r="C979" s="37" t="n"/>
    </row>
    <row r="980" ht="15.75" customHeight="1" s="66">
      <c r="C980" s="37" t="n"/>
    </row>
    <row r="981" ht="15.75" customHeight="1" s="66">
      <c r="C981" s="37" t="n"/>
    </row>
    <row r="982" ht="15.75" customHeight="1" s="66">
      <c r="C982" s="37" t="n"/>
    </row>
    <row r="983" ht="15.75" customHeight="1" s="66">
      <c r="C983" s="37" t="n"/>
    </row>
    <row r="984" ht="15.75" customHeight="1" s="66">
      <c r="C984" s="37" t="n"/>
    </row>
    <row r="985" ht="15.75" customHeight="1" s="66">
      <c r="C985" s="37" t="n"/>
    </row>
    <row r="986" ht="15.75" customHeight="1" s="66">
      <c r="C986" s="37" t="n"/>
    </row>
    <row r="987" ht="15.75" customHeight="1" s="66">
      <c r="C987" s="37" t="n"/>
    </row>
    <row r="988" ht="15.75" customHeight="1" s="66">
      <c r="C988" s="37" t="n"/>
    </row>
    <row r="989" ht="15.75" customHeight="1" s="66">
      <c r="C989" s="37" t="n"/>
    </row>
    <row r="990" ht="15.75" customHeight="1" s="66">
      <c r="C990" s="37" t="n"/>
    </row>
    <row r="991" ht="15.75" customHeight="1" s="66">
      <c r="C991" s="37" t="n"/>
    </row>
    <row r="992" ht="15.75" customHeight="1" s="66">
      <c r="C992" s="37" t="n"/>
    </row>
    <row r="993" ht="15.75" customHeight="1" s="66">
      <c r="C993" s="37" t="n"/>
    </row>
    <row r="994" ht="15.75" customHeight="1" s="66">
      <c r="C994" s="37" t="n"/>
    </row>
    <row r="995" ht="15.75" customHeight="1" s="66">
      <c r="C995" s="37" t="n"/>
    </row>
    <row r="996" ht="15.75" customHeight="1" s="66">
      <c r="C996" s="37" t="n"/>
    </row>
    <row r="997" ht="15.75" customHeight="1" s="66">
      <c r="C997" s="37" t="n"/>
    </row>
    <row r="998" ht="15.75" customHeight="1" s="66">
      <c r="C998" s="37" t="n"/>
    </row>
    <row r="999" ht="15.75" customHeight="1" s="66">
      <c r="C999" s="37" t="n"/>
    </row>
  </sheetData>
  <mergeCells count="6">
    <mergeCell ref="K2:M2"/>
    <mergeCell ref="Q2:R2"/>
    <mergeCell ref="N2:P2"/>
    <mergeCell ref="A2:G2"/>
    <mergeCell ref="A1:R1"/>
    <mergeCell ref="H2:J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66" min="1" max="1"/>
    <col width="15" customWidth="1" style="66" min="2" max="5"/>
    <col width="14" customWidth="1" style="66" min="6" max="7"/>
    <col width="8.710000000000001" customWidth="1" style="66" min="8" max="26"/>
  </cols>
  <sheetData>
    <row r="1" ht="33.75" customHeight="1" s="66">
      <c r="A1" s="67" t="inlineStr">
        <is>
          <t>Macro Accuracy &amp; Macro F1  |  Unweighted Average Across 4 Question Types</t>
        </is>
      </c>
      <c r="B1" s="68" t="n"/>
      <c r="C1" s="68" t="n"/>
      <c r="D1" s="68" t="n"/>
      <c r="E1" s="68" t="n"/>
      <c r="F1" s="68" t="n"/>
      <c r="G1" s="69" t="n"/>
    </row>
    <row r="2" ht="18" customHeight="1" s="66">
      <c r="A2" s="71" t="inlineStr">
        <is>
          <t>Macro Accuracy = mean of per-type accuracy. Macro F1 = mean of per-type F1 (token). Correct Answer binary (col R) drives accuracy.</t>
        </is>
      </c>
      <c r="B2" s="68" t="n"/>
      <c r="C2" s="68" t="n"/>
      <c r="D2" s="68" t="n"/>
      <c r="E2" s="68" t="n"/>
      <c r="F2" s="68" t="n"/>
      <c r="G2" s="69" t="n"/>
    </row>
    <row r="3" ht="21.75" customHeight="1" s="66">
      <c r="A3" s="7" t="inlineStr">
        <is>
          <t>PER-TYPE ACCURACY (Correct Answer Rate)</t>
        </is>
      </c>
      <c r="B3" s="68" t="n"/>
      <c r="C3" s="68" t="n"/>
      <c r="D3" s="68" t="n"/>
      <c r="E3" s="68" t="n"/>
      <c r="F3" s="68" t="n"/>
      <c r="G3" s="69" t="n"/>
    </row>
    <row r="4" ht="36" customHeight="1" s="66">
      <c r="A4" s="7" t="inlineStr">
        <is>
          <t>System</t>
        </is>
      </c>
      <c r="B4" s="43" t="inlineStr">
        <is>
          <t>extractive</t>
        </is>
      </c>
      <c r="C4" s="57" t="inlineStr">
        <is>
          <t>paraphrased</t>
        </is>
      </c>
      <c r="D4" s="58" t="inlineStr">
        <is>
          <t>reasoning</t>
        </is>
      </c>
      <c r="E4" s="42" t="inlineStr">
        <is>
          <t>hallucination</t>
        </is>
      </c>
      <c r="F4" s="43" t="inlineStr">
        <is>
          <t>Macro
Accuracy</t>
        </is>
      </c>
      <c r="G4" s="43" t="inlineStr">
        <is>
          <t xml:space="preserve">Macro
F1 </t>
        </is>
      </c>
    </row>
    <row r="5" ht="21.75" customHeight="1" s="66">
      <c r="A5" s="14" t="inlineStr">
        <is>
          <t>Baseline RAG</t>
        </is>
      </c>
      <c r="B5" s="44">
        <f>IFERROR(AVERAGE('Results Input'!R4,'Results Input'!R5,'Results Input'!R6,'Results Input'!R7,'Results Input'!R8,'Results Input'!R9,'Results Input'!R10,'Results Input'!R11,'Results Input'!R12,'Results Input'!R13,'Results Input'!R14,'Results Input'!R15,'Results Input'!R16,'Results Input'!R17,'Results Input'!R18,'Results Input'!R19,'Results Input'!R20,'Results Input'!R21,'Results Input'!R22,'Results Input'!R23,'Results Input'!R24,'Results Input'!R25,'Results Input'!R26,'Results Input'!R27,'Results Input'!R28),"")</f>
        <v/>
      </c>
      <c r="C5" s="44">
        <f>IFERROR(AVERAGE('Results Input'!R29,'Results Input'!R30,'Results Input'!R31,'Results Input'!R32,'Results Input'!R33,'Results Input'!R34,'Results Input'!R35,'Results Input'!R36,'Results Input'!R37,'Results Input'!R38,'Results Input'!R39,'Results Input'!R40,'Results Input'!R41,'Results Input'!R42,'Results Input'!R43,'Results Input'!R44,'Results Input'!R45,'Results Input'!R46,'Results Input'!R47,'Results Input'!R48,'Results Input'!R49,'Results Input'!R50,'Results Input'!R51,'Results Input'!R52,'Results Input'!R53),"")</f>
        <v/>
      </c>
      <c r="D5" s="44">
        <f>IFERROR(AVERAGE('Results Input'!R54,'Results Input'!R55,'Results Input'!R56,'Results Input'!R57,'Results Input'!R58,'Results Input'!R59,'Results Input'!R60,'Results Input'!R61,'Results Input'!R62,'Results Input'!R63,'Results Input'!R64,'Results Input'!R65,'Results Input'!R66,'Results Input'!R67,'Results Input'!R68,'Results Input'!R69,'Results Input'!R70,'Results Input'!R71,'Results Input'!R72,'Results Input'!R73,'Results Input'!R74,'Results Input'!R75,'Results Input'!R76,'Results Input'!R77,'Results Input'!R78),"")</f>
        <v/>
      </c>
      <c r="E5" s="44">
        <f>IFERROR(AVERAGE('Results Input'!R79,'Results Input'!R80,'Results Input'!R81,'Results Input'!R82,'Results Input'!R83,'Results Input'!R84,'Results Input'!R85,'Results Input'!R86,'Results Input'!R87,'Results Input'!R88,'Results Input'!R89,'Results Input'!R90,'Results Input'!R91,'Results Input'!R92,'Results Input'!R93,'Results Input'!R94,'Results Input'!R95,'Results Input'!R96,'Results Input'!R97,'Results Input'!R98,'Results Input'!R99,'Results Input'!R100,'Results Input'!R101,'Results Input'!R102,'Results Input'!R103),"")</f>
        <v/>
      </c>
      <c r="F5" s="45">
        <f>IFERROR(AVERAGE(B5:E5),"")</f>
        <v/>
      </c>
      <c r="G5" s="46">
        <f>IFERROR((AVERAGE('Results Input'!N4,'Results Input'!N5,'Results Input'!N6,'Results Input'!N7,'Results Input'!N8,'Results Input'!N9,'Results Input'!N10,'Results Input'!N11,'Results Input'!N12,'Results Input'!N13,'Results Input'!N14,'Results Input'!N15,'Results Input'!N16,'Results Input'!N17,'Results Input'!N18,'Results Input'!N19,'Results Input'!N20,'Results Input'!N21,'Results Input'!N22,'Results Input'!N23,'Results Input'!N24,'Results Input'!N25,'Results Input'!N26,'Results Input'!N27,'Results Input'!N28)+AVERAGE('Results Input'!N29,'Results Input'!N30,'Results Input'!N31,'Results Input'!N32,'Results Input'!N33,'Results Input'!N34,'Results Input'!N35,'Results Input'!N36,'Results Input'!N37,'Results Input'!N38,'Results Input'!N39,'Results Input'!N40,'Results Input'!N41,'Results Input'!N42,'Results Input'!N43,'Results Input'!N44,'Results Input'!N45,'Results Input'!N46,'Results Input'!N47,'Results Input'!N48,'Results Input'!N49,'Results Input'!N50,'Results Input'!N51,'Results Input'!N52,'Results Input'!N53)+AVERAGE('Results Input'!N54,'Results Input'!N55,'Results Input'!N56,'Results Input'!N57,'Results Input'!N58,'Results Input'!N59,'Results Input'!N60,'Results Input'!N61,'Results Input'!N62,'Results Input'!N63,'Results Input'!N64,'Results Input'!N65,'Results Input'!N66,'Results Input'!N67,'Results Input'!N68,'Results Input'!N69,'Results Input'!N70,'Results Input'!N71,'Results Input'!N72,'Results Input'!N73,'Results Input'!N74,'Results Input'!N75,'Results Input'!N76,'Results Input'!N77,'Results Input'!N78)+AVERAGE('Results Input'!N79,'Results Input'!N80,'Results Input'!N81,'Results Input'!N82,'Results Input'!N83,'Results Input'!N84,'Results Input'!N85,'Results Input'!N86,'Results Input'!N87,'Results Input'!N88,'Results Input'!N89,'Results Input'!N90,'Results Input'!N91,'Results Input'!N92,'Results Input'!N93,'Results Input'!N94,'Results Input'!N95,'Results Input'!N96,'Results Input'!N97,'Results Input'!N98,'Results Input'!N99,'Results Input'!N100,'Results Input'!N101,'Results Input'!N102,'Results Input'!N103))/4,"")</f>
        <v/>
      </c>
    </row>
    <row r="6" ht="21.75" customHeight="1" s="66">
      <c r="A6" s="47" t="inlineStr">
        <is>
          <t>Adv RAG – Hybrid (BM25+Vector)</t>
        </is>
      </c>
      <c r="B6" s="44">
        <f>IFERROR(AVERAGE('Results Input'!R104,'Results Input'!R105,'Results Input'!R106,'Results Input'!R107,'Results Input'!R108,'Results Input'!R109,'Results Input'!R110,'Results Input'!R111,'Results Input'!R112,'Results Input'!R113,'Results Input'!R114,'Results Input'!R115,'Results Input'!R116,'Results Input'!R117,'Results Input'!R118,'Results Input'!R119,'Results Input'!R120,'Results Input'!R121,'Results Input'!R122,'Results Input'!R123,'Results Input'!R124,'Results Input'!R125,'Results Input'!R126,'Results Input'!R127,'Results Input'!R128),"")</f>
        <v/>
      </c>
      <c r="C6" s="44">
        <f>IFERROR(AVERAGE('Results Input'!R129,'Results Input'!R130,'Results Input'!R131,'Results Input'!R132,'Results Input'!R133,'Results Input'!R134,'Results Input'!R135,'Results Input'!R136,'Results Input'!R137,'Results Input'!R138,'Results Input'!R139,'Results Input'!R140,'Results Input'!R141,'Results Input'!R142,'Results Input'!R143,'Results Input'!R144,'Results Input'!R145,'Results Input'!R146,'Results Input'!R147,'Results Input'!R148,'Results Input'!R149,'Results Input'!R150,'Results Input'!R151,'Results Input'!R152,'Results Input'!R153),"")</f>
        <v/>
      </c>
      <c r="D6" s="44">
        <f>IFERROR(AVERAGE('Results Input'!R154,'Results Input'!R155,'Results Input'!R156,'Results Input'!R157,'Results Input'!R158,'Results Input'!R159,'Results Input'!R160,'Results Input'!R161,'Results Input'!R162,'Results Input'!R163,'Results Input'!R164,'Results Input'!R165,'Results Input'!R166,'Results Input'!R167,'Results Input'!R168,'Results Input'!R169,'Results Input'!R170,'Results Input'!R171,'Results Input'!R172,'Results Input'!R173,'Results Input'!R174,'Results Input'!R175,'Results Input'!R176,'Results Input'!R177,'Results Input'!R178),"")</f>
        <v/>
      </c>
      <c r="E6" s="44">
        <f>IFERROR(AVERAGE('Results Input'!R179,'Results Input'!R180,'Results Input'!R181,'Results Input'!R182,'Results Input'!R183,'Results Input'!R184,'Results Input'!R185,'Results Input'!R186,'Results Input'!R187,'Results Input'!R188,'Results Input'!R189,'Results Input'!R190,'Results Input'!R191,'Results Input'!R192,'Results Input'!R193,'Results Input'!R194,'Results Input'!R195,'Results Input'!R196,'Results Input'!R197,'Results Input'!R198,'Results Input'!R199,'Results Input'!R200,'Results Input'!R201,'Results Input'!R202,'Results Input'!R203),"")</f>
        <v/>
      </c>
      <c r="F6" s="45">
        <f>IFERROR(AVERAGE(B6:E6),"")</f>
        <v/>
      </c>
      <c r="G6" s="46">
        <f>IFERROR((AVERAGE('Results Input'!N104,'Results Input'!N105,'Results Input'!N106,'Results Input'!N107,'Results Input'!N108,'Results Input'!N109,'Results Input'!N110,'Results Input'!N111,'Results Input'!N112,'Results Input'!N113,'Results Input'!N114,'Results Input'!N115,'Results Input'!N116,'Results Input'!N117,'Results Input'!N118,'Results Input'!N119,'Results Input'!N120,'Results Input'!N121,'Results Input'!N122,'Results Input'!N123,'Results Input'!N124,'Results Input'!N125,'Results Input'!N126,'Results Input'!N127,'Results Input'!N128)+AVERAGE('Results Input'!N129,'Results Input'!N130,'Results Input'!N131,'Results Input'!N132,'Results Input'!N133,'Results Input'!N134,'Results Input'!N135,'Results Input'!N136,'Results Input'!N137,'Results Input'!N138,'Results Input'!N139,'Results Input'!N140,'Results Input'!N141,'Results Input'!N142,'Results Input'!N143,'Results Input'!N144,'Results Input'!N145,'Results Input'!N146,'Results Input'!N147,'Results Input'!N148,'Results Input'!N149,'Results Input'!N150,'Results Input'!N151,'Results Input'!N152,'Results Input'!N153)+AVERAGE('Results Input'!N154,'Results Input'!N155,'Results Input'!N156,'Results Input'!N157,'Results Input'!N158,'Results Input'!N159,'Results Input'!N160,'Results Input'!N161,'Results Input'!N162,'Results Input'!N163,'Results Input'!N164,'Results Input'!N165,'Results Input'!N166,'Results Input'!N167,'Results Input'!N168,'Results Input'!N169,'Results Input'!N170,'Results Input'!N171,'Results Input'!N172,'Results Input'!N173,'Results Input'!N174,'Results Input'!N175,'Results Input'!N176,'Results Input'!N177,'Results Input'!N178)+AVERAGE('Results Input'!N179,'Results Input'!N180,'Results Input'!N181,'Results Input'!N182,'Results Input'!N183,'Results Input'!N184,'Results Input'!N185,'Results Input'!N186,'Results Input'!N187,'Results Input'!N188,'Results Input'!N189,'Results Input'!N190,'Results Input'!N191,'Results Input'!N192,'Results Input'!N193,'Results Input'!N194,'Results Input'!N195,'Results Input'!N196,'Results Input'!N197,'Results Input'!N198,'Results Input'!N199,'Results Input'!N200,'Results Input'!N201,'Results Input'!N202,'Results Input'!N203))/4,"")</f>
        <v/>
      </c>
    </row>
    <row r="7" ht="21.75" customHeight="1" s="66">
      <c r="A7" s="26" t="inlineStr">
        <is>
          <t>Adv RAG +LangGraph</t>
        </is>
      </c>
      <c r="B7" s="44">
        <f>IFERROR(AVERAGE('Results Input'!R204,'Results Input'!R205,'Results Input'!R206,'Results Input'!R207,'Results Input'!R208,'Results Input'!R209,'Results Input'!R210,'Results Input'!R211,'Results Input'!R212,'Results Input'!R213,'Results Input'!R214,'Results Input'!R215,'Results Input'!R216,'Results Input'!R217,'Results Input'!R218,'Results Input'!R219,'Results Input'!R220,'Results Input'!R221,'Results Input'!R222,'Results Input'!R223,'Results Input'!R224,'Results Input'!R225,'Results Input'!R226,'Results Input'!R227,'Results Input'!R228),"")</f>
        <v/>
      </c>
      <c r="C7" s="44">
        <f>IFERROR(AVERAGE('Results Input'!R229,'Results Input'!R230,'Results Input'!R231,'Results Input'!R232,'Results Input'!R233,'Results Input'!R234,'Results Input'!R235,'Results Input'!R236,'Results Input'!R237,'Results Input'!R238,'Results Input'!R239,'Results Input'!R240,'Results Input'!R241,'Results Input'!R242,'Results Input'!R243,'Results Input'!R244,'Results Input'!R245,'Results Input'!R246,'Results Input'!R247,'Results Input'!R248,'Results Input'!R249,'Results Input'!R250,'Results Input'!R251,'Results Input'!R252,'Results Input'!R253),"")</f>
        <v/>
      </c>
      <c r="D7" s="44">
        <f>IFERROR(AVERAGE('Results Input'!R254,'Results Input'!R255,'Results Input'!R256,'Results Input'!R257,'Results Input'!R258,'Results Input'!R259,'Results Input'!R260,'Results Input'!R261,'Results Input'!R262,'Results Input'!R263,'Results Input'!R264,'Results Input'!R265,'Results Input'!R266,'Results Input'!R267,'Results Input'!R268,'Results Input'!R269,'Results Input'!R270,'Results Input'!R271,'Results Input'!R272,'Results Input'!R273,'Results Input'!R274,'Results Input'!R275,'Results Input'!R276,'Results Input'!R277,'Results Input'!R278),"")</f>
        <v/>
      </c>
      <c r="E7" s="44">
        <f>IFERROR(AVERAGE('Results Input'!R279,'Results Input'!R280,'Results Input'!R281,'Results Input'!R282,'Results Input'!R283,'Results Input'!R284,'Results Input'!R285,'Results Input'!R286,'Results Input'!R287,'Results Input'!R288,'Results Input'!R289,'Results Input'!R290,'Results Input'!R291,'Results Input'!R292,'Results Input'!R293,'Results Input'!R294,'Results Input'!R295,'Results Input'!R296,'Results Input'!R297,'Results Input'!R298,'Results Input'!R299,'Results Input'!R300,'Results Input'!R301,'Results Input'!R302,'Results Input'!R303),"")</f>
        <v/>
      </c>
      <c r="F7" s="45">
        <f>IFERROR(AVERAGE(B7:E7),"")</f>
        <v/>
      </c>
      <c r="G7" s="46">
        <f>IFERROR((AVERAGE('Results Input'!N204,'Results Input'!N205,'Results Input'!N206,'Results Input'!N207,'Results Input'!N208,'Results Input'!N209,'Results Input'!N210,'Results Input'!N211,'Results Input'!N212,'Results Input'!N213,'Results Input'!N214,'Results Input'!N215,'Results Input'!N216,'Results Input'!N217,'Results Input'!N218,'Results Input'!N219,'Results Input'!N220,'Results Input'!N221,'Results Input'!N222,'Results Input'!N223,'Results Input'!N224,'Results Input'!N225,'Results Input'!N226,'Results Input'!N227,'Results Input'!N228)+AVERAGE('Results Input'!N229,'Results Input'!N230,'Results Input'!N231,'Results Input'!N232,'Results Input'!N233,'Results Input'!N234,'Results Input'!N235,'Results Input'!N236,'Results Input'!N237,'Results Input'!N238,'Results Input'!N239,'Results Input'!N240,'Results Input'!N241,'Results Input'!N242,'Results Input'!N243,'Results Input'!N244,'Results Input'!N245,'Results Input'!N246,'Results Input'!N247,'Results Input'!N248,'Results Input'!N249,'Results Input'!N250,'Results Input'!N251,'Results Input'!N252,'Results Input'!N253)+AVERAGE('Results Input'!N254,'Results Input'!N255,'Results Input'!N256,'Results Input'!N257,'Results Input'!N258,'Results Input'!N259,'Results Input'!N260,'Results Input'!N261,'Results Input'!N262,'Results Input'!N263,'Results Input'!N264,'Results Input'!N265,'Results Input'!N266,'Results Input'!N267,'Results Input'!N268,'Results Input'!N269,'Results Input'!N270,'Results Input'!N271,'Results Input'!N272,'Results Input'!N273,'Results Input'!N274,'Results Input'!N275,'Results Input'!N276,'Results Input'!N277,'Results Input'!N278)+AVERAGE('Results Input'!N279,'Results Input'!N280,'Results Input'!N281,'Results Input'!N282,'Results Input'!N283,'Results Input'!N284,'Results Input'!N285,'Results Input'!N286,'Results Input'!N287,'Results Input'!N288,'Results Input'!N289,'Results Input'!N290,'Results Input'!N291,'Results Input'!N292,'Results Input'!N293,'Results Input'!N294,'Results Input'!N295,'Results Input'!N296,'Results Input'!N297,'Results Input'!N298,'Results Input'!N299,'Results Input'!N300,'Results Input'!N301,'Results Input'!N302,'Results Input'!N303))/4,"")</f>
        <v/>
      </c>
    </row>
    <row r="8" ht="21.75" customHeight="1" s="66">
      <c r="A8" s="48" t="inlineStr">
        <is>
          <t>Adv RAG + LlamaIndex</t>
        </is>
      </c>
      <c r="B8" s="44">
        <f>IFERROR(AVERAGE('Results Input'!R304,'Results Input'!R305,'Results Input'!R306,'Results Input'!R307,'Results Input'!R308,'Results Input'!R309,'Results Input'!R310,'Results Input'!R311,'Results Input'!R312,'Results Input'!R313,'Results Input'!R314,'Results Input'!R315,'Results Input'!R316,'Results Input'!R317,'Results Input'!R318,'Results Input'!R319,'Results Input'!R320,'Results Input'!R321,'Results Input'!R322,'Results Input'!R323,'Results Input'!R324,'Results Input'!R325,'Results Input'!R326,'Results Input'!R327,'Results Input'!R328),"")</f>
        <v/>
      </c>
      <c r="C8" s="44">
        <f>IFERROR(AVERAGE('Results Input'!R329,'Results Input'!R330,'Results Input'!R331,'Results Input'!R332,'Results Input'!R333,'Results Input'!R334,'Results Input'!R335,'Results Input'!R336,'Results Input'!R337,'Results Input'!R338,'Results Input'!R339,'Results Input'!R340,'Results Input'!R341,'Results Input'!R342,'Results Input'!R343,'Results Input'!R344,'Results Input'!R345,'Results Input'!R346,'Results Input'!R347,'Results Input'!R348,'Results Input'!R349,'Results Input'!R350,'Results Input'!R351,'Results Input'!R352,'Results Input'!R353),"")</f>
        <v/>
      </c>
      <c r="D8" s="44">
        <f>IFERROR(AVERAGE('Results Input'!R354,'Results Input'!R355,'Results Input'!R356,'Results Input'!R357,'Results Input'!R358,'Results Input'!R359,'Results Input'!R360,'Results Input'!R361,'Results Input'!R362,'Results Input'!R363,'Results Input'!R364,'Results Input'!R365,'Results Input'!R366,'Results Input'!R367,'Results Input'!R368,'Results Input'!R369,'Results Input'!R370,'Results Input'!R371,'Results Input'!R372,'Results Input'!R373,'Results Input'!R374,'Results Input'!R375,'Results Input'!R376,'Results Input'!R377,'Results Input'!R378),"")</f>
        <v/>
      </c>
      <c r="E8" s="44">
        <f>IFERROR(AVERAGE('Results Input'!R379,'Results Input'!R380,'Results Input'!R381,'Results Input'!R382,'Results Input'!R383,'Results Input'!R384,'Results Input'!R385,'Results Input'!R386,'Results Input'!R387,'Results Input'!R388,'Results Input'!R389,'Results Input'!R390,'Results Input'!R391,'Results Input'!R392,'Results Input'!R393,'Results Input'!R394,'Results Input'!R395,'Results Input'!R396,'Results Input'!R397,'Results Input'!R398,'Results Input'!R399,'Results Input'!R400,'Results Input'!R401,'Results Input'!R402,'Results Input'!R403),"")</f>
        <v/>
      </c>
      <c r="F8" s="45">
        <f>IFERROR(AVERAGE(B8:E8),"")</f>
        <v/>
      </c>
      <c r="G8" s="46">
        <f>IFERROR((AVERAGE('Results Input'!N304,'Results Input'!N305,'Results Input'!N306,'Results Input'!N307,'Results Input'!N308,'Results Input'!N309,'Results Input'!N310,'Results Input'!N311,'Results Input'!N312,'Results Input'!N313,'Results Input'!N314,'Results Input'!N315,'Results Input'!N316,'Results Input'!N317,'Results Input'!N318,'Results Input'!N319,'Results Input'!N320,'Results Input'!N321,'Results Input'!N322,'Results Input'!N323,'Results Input'!N324,'Results Input'!N325,'Results Input'!N326,'Results Input'!N327,'Results Input'!N328)+AVERAGE('Results Input'!N329,'Results Input'!N330,'Results Input'!N331,'Results Input'!N332,'Results Input'!N333,'Results Input'!N334,'Results Input'!N335,'Results Input'!N336,'Results Input'!N337,'Results Input'!N338,'Results Input'!N339,'Results Input'!N340,'Results Input'!N341,'Results Input'!N342,'Results Input'!N343,'Results Input'!N344,'Results Input'!N345,'Results Input'!N346,'Results Input'!N347,'Results Input'!N348,'Results Input'!N349,'Results Input'!N350,'Results Input'!N351,'Results Input'!N352,'Results Input'!N353)+AVERAGE('Results Input'!N354,'Results Input'!N355,'Results Input'!N356,'Results Input'!N357,'Results Input'!N358,'Results Input'!N359,'Results Input'!N360,'Results Input'!N361,'Results Input'!N362,'Results Input'!N363,'Results Input'!N364,'Results Input'!N365,'Results Input'!N366,'Results Input'!N367,'Results Input'!N368,'Results Input'!N369,'Results Input'!N370,'Results Input'!N371,'Results Input'!N372,'Results Input'!N373,'Results Input'!N374,'Results Input'!N375,'Results Input'!N376,'Results Input'!N377,'Results Input'!N378)+AVERAGE('Results Input'!N379,'Results Input'!N380,'Results Input'!N381,'Results Input'!N382,'Results Input'!N383,'Results Input'!N384,'Results Input'!N385,'Results Input'!N386,'Results Input'!N387,'Results Input'!N388,'Results Input'!N389,'Results Input'!N390,'Results Input'!N391,'Results Input'!N392,'Results Input'!N393,'Results Input'!N394,'Results Input'!N395,'Results Input'!N396,'Results Input'!N397,'Results Input'!N398,'Results Input'!N399,'Results Input'!N400,'Results Input'!N401,'Results Input'!N402,'Results Input'!N403))/4,"")</f>
        <v/>
      </c>
    </row>
    <row r="11">
      <c r="A11" s="7" t="inlineStr">
        <is>
          <t>How to interpret these metrics</t>
        </is>
      </c>
      <c r="B11" s="68" t="n"/>
      <c r="C11" s="68" t="n"/>
      <c r="D11" s="68" t="n"/>
      <c r="E11" s="68" t="n"/>
      <c r="F11" s="68" t="n"/>
      <c r="G11" s="69" t="n"/>
    </row>
    <row r="12" ht="19.5" customHeight="1" s="66">
      <c r="A12" s="49" t="inlineStr">
        <is>
          <t>Extractive accuracy</t>
        </is>
      </c>
      <c r="B12" s="72" t="inlineStr">
        <is>
          <t>Did the system find and return the exact figure/fact from the filing?</t>
        </is>
      </c>
      <c r="C12" s="68" t="n"/>
      <c r="D12" s="68" t="n"/>
      <c r="E12" s="68" t="n"/>
      <c r="F12" s="68" t="n"/>
      <c r="G12" s="69" t="n"/>
    </row>
    <row r="13" ht="19.5" customHeight="1" s="66">
      <c r="A13" s="49" t="inlineStr">
        <is>
          <t>Paraphrased accuracy</t>
        </is>
      </c>
      <c r="B13" s="72" t="inlineStr">
        <is>
          <t>Did the system answer correctly even when the question is reworded vs the source text?v( should be the same answer as level 1 extractive question )</t>
        </is>
      </c>
      <c r="C13" s="68" t="n"/>
      <c r="D13" s="68" t="n"/>
      <c r="E13" s="68" t="n"/>
      <c r="F13" s="68" t="n"/>
      <c r="G13" s="69" t="n"/>
    </row>
    <row r="14" ht="19.5" customHeight="1" s="66">
      <c r="A14" s="49" t="inlineStr">
        <is>
          <t>Reasoning accuracy</t>
        </is>
      </c>
      <c r="B14" s="72" t="inlineStr">
        <is>
          <t>Did the system correctly perform multi-step inference (e.g. compare two segments)?</t>
        </is>
      </c>
      <c r="C14" s="68" t="n"/>
      <c r="D14" s="68" t="n"/>
      <c r="E14" s="68" t="n"/>
      <c r="F14" s="68" t="n"/>
      <c r="G14" s="69" t="n"/>
    </row>
    <row r="15" ht="19.5" customHeight="1" s="66">
      <c r="A15" s="49" t="inlineStr">
        <is>
          <t>Hallucination accuracy</t>
        </is>
      </c>
      <c r="B15" s="72" t="inlineStr">
        <is>
          <t>Did the system correctly REFUSE when context is insufficient? (expected_decision = REFUSE)</t>
        </is>
      </c>
      <c r="C15" s="68" t="n"/>
      <c r="D15" s="68" t="n"/>
      <c r="E15" s="68" t="n"/>
      <c r="F15" s="68" t="n"/>
      <c r="G15" s="69" t="n"/>
    </row>
    <row r="16" ht="19.5" customHeight="1" s="66">
      <c r="A16" s="49" t="inlineStr">
        <is>
          <t>Macro Accuracy</t>
        </is>
      </c>
      <c r="B16" s="72" t="inlineStr">
        <is>
          <t>Unweighted mean across all 4 types — treats each type equally regardless of sample size</t>
        </is>
      </c>
      <c r="C16" s="68" t="n"/>
      <c r="D16" s="68" t="n"/>
      <c r="E16" s="68" t="n"/>
      <c r="F16" s="68" t="n"/>
      <c r="G16" s="69" t="n"/>
    </row>
    <row r="17" ht="19.5" customHeight="1" s="66">
      <c r="A17" s="49" t="inlineStr">
        <is>
          <t>Macro F1 (Token)</t>
        </is>
      </c>
      <c r="B17" s="72" t="inlineStr">
        <is>
          <t>Unweighted mean of per-type token F1 — penalises both missed tokens (recall) and extra tokens (precision)</t>
        </is>
      </c>
      <c r="C17" s="68" t="n"/>
      <c r="D17" s="68" t="n"/>
      <c r="E17" s="68" t="n"/>
      <c r="F17" s="68" t="n"/>
      <c r="G17" s="69" t="n"/>
    </row>
    <row r="20" ht="33.75" customHeight="1" s="66">
      <c r="A20" s="67" t="inlineStr">
        <is>
          <t xml:space="preserve">Evaluating RAG using RAGAS </t>
        </is>
      </c>
      <c r="B20" s="68" t="n"/>
      <c r="C20" s="68" t="n"/>
      <c r="D20" s="68" t="n"/>
      <c r="E20" s="68" t="n"/>
      <c r="F20" s="68" t="n"/>
      <c r="G20" s="69" t="n"/>
    </row>
    <row r="21" ht="36" customHeight="1" s="66">
      <c r="A21" s="7" t="inlineStr">
        <is>
          <t>System</t>
        </is>
      </c>
      <c r="B21" s="43" t="inlineStr">
        <is>
          <t>extractive</t>
        </is>
      </c>
      <c r="C21" s="57" t="inlineStr">
        <is>
          <t>paraphrased</t>
        </is>
      </c>
      <c r="D21" s="58" t="inlineStr">
        <is>
          <t>reasoning</t>
        </is>
      </c>
      <c r="E21" s="42" t="inlineStr">
        <is>
          <t>hallucination</t>
        </is>
      </c>
      <c r="F21" s="43" t="inlineStr">
        <is>
          <t>Macro
Accuracy</t>
        </is>
      </c>
      <c r="G21" s="43" t="inlineStr">
        <is>
          <t xml:space="preserve">Macro
F1 </t>
        </is>
      </c>
    </row>
    <row r="22" ht="21.75" customHeight="1" s="66">
      <c r="A22" s="14" t="inlineStr">
        <is>
          <t>Baseline RAG</t>
        </is>
      </c>
      <c r="B22" s="44">
        <f>IFERROR(AVERAGE('Results Input'!R21,'Results Input'!R22,'Results Input'!R23,'Results Input'!R24,'Results Input'!R25,'Results Input'!R26,'Results Input'!R27,'Results Input'!R28,'Results Input'!R29,'Results Input'!R30,'Results Input'!R31,'Results Input'!R32,'Results Input'!R33,'Results Input'!R34,'Results Input'!R35,'Results Input'!R36,'Results Input'!R37,'Results Input'!R38,'Results Input'!R39,'Results Input'!R40,'Results Input'!R41,'Results Input'!R42,'Results Input'!R43,'Results Input'!R44,'Results Input'!R45),"")</f>
        <v/>
      </c>
      <c r="C22" s="44">
        <f>IFERROR(AVERAGE('Results Input'!R46,'Results Input'!R47,'Results Input'!R48,'Results Input'!R49,'Results Input'!R50,'Results Input'!R51,'Results Input'!R52,'Results Input'!R53,'Results Input'!R54,'Results Input'!R55,'Results Input'!R56,'Results Input'!R57,'Results Input'!R58,'Results Input'!R59,'Results Input'!R60,'Results Input'!R61,'Results Input'!R62,'Results Input'!R63,'Results Input'!R64,'Results Input'!R65,'Results Input'!R66,'Results Input'!R67,'Results Input'!R68,'Results Input'!R69,'Results Input'!R70),"")</f>
        <v/>
      </c>
      <c r="D22" s="44">
        <f>IFERROR(AVERAGE('Results Input'!R71,'Results Input'!R72,'Results Input'!R73,'Results Input'!R74,'Results Input'!R75,'Results Input'!R76,'Results Input'!R77,'Results Input'!R78,'Results Input'!R79,'Results Input'!R80,'Results Input'!R81,'Results Input'!R82,'Results Input'!R83,'Results Input'!R84,'Results Input'!R85,'Results Input'!R86,'Results Input'!R87,'Results Input'!R88,'Results Input'!R89,'Results Input'!R90,'Results Input'!R91,'Results Input'!R92,'Results Input'!R93,'Results Input'!R94,'Results Input'!R95),"")</f>
        <v/>
      </c>
      <c r="E22" s="44">
        <f>IFERROR(AVERAGE('Results Input'!R96,'Results Input'!R97,'Results Input'!R98,'Results Input'!R99,'Results Input'!R100,'Results Input'!R101,'Results Input'!R102,'Results Input'!R103,'Results Input'!R104,'Results Input'!R105,'Results Input'!R106,'Results Input'!R107,'Results Input'!R108,'Results Input'!R109,'Results Input'!R110,'Results Input'!R111,'Results Input'!R112,'Results Input'!R113,'Results Input'!R114,'Results Input'!R115,'Results Input'!R116,'Results Input'!R117,'Results Input'!R118,'Results Input'!R119,'Results Input'!R120),"")</f>
        <v/>
      </c>
      <c r="F22" s="45">
        <f>IFERROR(AVERAGE(B22:E22),"")</f>
        <v/>
      </c>
      <c r="G22" s="46">
        <f>IFERROR((AVERAGE('Results Input'!N21,'Results Input'!N22,'Results Input'!N23,'Results Input'!N24,'Results Input'!N25,'Results Input'!N26,'Results Input'!N27,'Results Input'!N28,'Results Input'!N29,'Results Input'!N30,'Results Input'!N31,'Results Input'!N32,'Results Input'!N33,'Results Input'!N34,'Results Input'!N35,'Results Input'!N36,'Results Input'!N37,'Results Input'!N38,'Results Input'!N39,'Results Input'!N40,'Results Input'!N41,'Results Input'!N42,'Results Input'!N43,'Results Input'!N44,'Results Input'!N45)+AVERAGE('Results Input'!N46,'Results Input'!N47,'Results Input'!N48,'Results Input'!N49,'Results Input'!N50,'Results Input'!N51,'Results Input'!N52,'Results Input'!N53,'Results Input'!N54,'Results Input'!N55,'Results Input'!N56,'Results Input'!N57,'Results Input'!N58,'Results Input'!N59,'Results Input'!N60,'Results Input'!N61,'Results Input'!N62,'Results Input'!N63,'Results Input'!N64,'Results Input'!N65,'Results Input'!N66,'Results Input'!N67,'Results Input'!N68,'Results Input'!N69,'Results Input'!N70)+AVERAGE('Results Input'!N71,'Results Input'!N72,'Results Input'!N73,'Results Input'!N74,'Results Input'!N75,'Results Input'!N76,'Results Input'!N77,'Results Input'!N78,'Results Input'!N79,'Results Input'!N80,'Results Input'!N81,'Results Input'!N82,'Results Input'!N83,'Results Input'!N84,'Results Input'!N85,'Results Input'!N86,'Results Input'!N87,'Results Input'!N88,'Results Input'!N89,'Results Input'!N90,'Results Input'!N91,'Results Input'!N92,'Results Input'!N93,'Results Input'!N94,'Results Input'!N95)+AVERAGE('Results Input'!N96,'Results Input'!N97,'Results Input'!N98,'Results Input'!N99,'Results Input'!N100,'Results Input'!N101,'Results Input'!N102,'Results Input'!N103,'Results Input'!N104,'Results Input'!N105,'Results Input'!N106,'Results Input'!N107,'Results Input'!N108,'Results Input'!N109,'Results Input'!N110,'Results Input'!N111,'Results Input'!N112,'Results Input'!N113,'Results Input'!N114,'Results Input'!N115,'Results Input'!N116,'Results Input'!N117,'Results Input'!N118,'Results Input'!N119,'Results Input'!N120))/4,"")</f>
        <v/>
      </c>
    </row>
    <row r="23" ht="21.75" customHeight="1" s="66">
      <c r="A23" s="47" t="inlineStr">
        <is>
          <t>Adv RAG – Hybrid (BM25+Vector)</t>
        </is>
      </c>
      <c r="B23" s="44">
        <f>IFERROR(AVERAGE('Results Input'!R121,'Results Input'!R122,'Results Input'!R123,'Results Input'!R124,'Results Input'!R125,'Results Input'!R126,'Results Input'!R127,'Results Input'!R128,'Results Input'!R129,'Results Input'!R130,'Results Input'!R131,'Results Input'!R132,'Results Input'!R133,'Results Input'!R134,'Results Input'!R135,'Results Input'!R136,'Results Input'!R137,'Results Input'!R138,'Results Input'!R139,'Results Input'!R140,'Results Input'!R141,'Results Input'!R142,'Results Input'!R143,'Results Input'!R144,'Results Input'!R145),"")</f>
        <v/>
      </c>
      <c r="C23" s="44">
        <f>IFERROR(AVERAGE('Results Input'!R146,'Results Input'!R147,'Results Input'!R148,'Results Input'!R149,'Results Input'!R150,'Results Input'!R151,'Results Input'!R152,'Results Input'!R153,'Results Input'!R154,'Results Input'!R155,'Results Input'!R156,'Results Input'!R157,'Results Input'!R158,'Results Input'!R159,'Results Input'!R160,'Results Input'!R161,'Results Input'!R162,'Results Input'!R163,'Results Input'!R164,'Results Input'!R165,'Results Input'!R166,'Results Input'!R167,'Results Input'!R168,'Results Input'!R169,'Results Input'!R170),"")</f>
        <v/>
      </c>
      <c r="D23" s="44">
        <f>IFERROR(AVERAGE('Results Input'!R171,'Results Input'!R172,'Results Input'!R173,'Results Input'!R174,'Results Input'!R175,'Results Input'!R176,'Results Input'!R177,'Results Input'!R178,'Results Input'!R179,'Results Input'!R180,'Results Input'!R181,'Results Input'!R182,'Results Input'!R183,'Results Input'!R184,'Results Input'!R185,'Results Input'!R186,'Results Input'!R187,'Results Input'!R188,'Results Input'!R189,'Results Input'!R190,'Results Input'!R191,'Results Input'!R192,'Results Input'!R193,'Results Input'!R194,'Results Input'!R195),"")</f>
        <v/>
      </c>
      <c r="E23" s="44">
        <f>IFERROR(AVERAGE('Results Input'!R196,'Results Input'!R197,'Results Input'!R198,'Results Input'!R199,'Results Input'!R200,'Results Input'!R201,'Results Input'!R202,'Results Input'!R203,'Results Input'!R204,'Results Input'!R205,'Results Input'!R206,'Results Input'!R207,'Results Input'!R208,'Results Input'!R209,'Results Input'!R210,'Results Input'!R211,'Results Input'!R212,'Results Input'!R213,'Results Input'!R214,'Results Input'!R215,'Results Input'!R216,'Results Input'!R217,'Results Input'!R218,'Results Input'!R219,'Results Input'!R220),"")</f>
        <v/>
      </c>
      <c r="F23" s="45">
        <f>IFERROR(AVERAGE(B23:E23),"")</f>
        <v/>
      </c>
      <c r="G23" s="46">
        <f>IFERROR((AVERAGE('Results Input'!N121,'Results Input'!N122,'Results Input'!N123,'Results Input'!N124,'Results Input'!N125,'Results Input'!N126,'Results Input'!N127,'Results Input'!N128,'Results Input'!N129,'Results Input'!N130,'Results Input'!N131,'Results Input'!N132,'Results Input'!N133,'Results Input'!N134,'Results Input'!N135,'Results Input'!N136,'Results Input'!N137,'Results Input'!N138,'Results Input'!N139,'Results Input'!N140,'Results Input'!N141,'Results Input'!N142,'Results Input'!N143,'Results Input'!N144,'Results Input'!N145)+AVERAGE('Results Input'!N146,'Results Input'!N147,'Results Input'!N148,'Results Input'!N149,'Results Input'!N150,'Results Input'!N151,'Results Input'!N152,'Results Input'!N153,'Results Input'!N154,'Results Input'!N155,'Results Input'!N156,'Results Input'!N157,'Results Input'!N158,'Results Input'!N159,'Results Input'!N160,'Results Input'!N161,'Results Input'!N162,'Results Input'!N163,'Results Input'!N164,'Results Input'!N165,'Results Input'!N166,'Results Input'!N167,'Results Input'!N168,'Results Input'!N169,'Results Input'!N170)+AVERAGE('Results Input'!N171,'Results Input'!N172,'Results Input'!N173,'Results Input'!N174,'Results Input'!N175,'Results Input'!N176,'Results Input'!N177,'Results Input'!N178,'Results Input'!N179,'Results Input'!N180,'Results Input'!N181,'Results Input'!N182,'Results Input'!N183,'Results Input'!N184,'Results Input'!N185,'Results Input'!N186,'Results Input'!N187,'Results Input'!N188,'Results Input'!N189,'Results Input'!N190,'Results Input'!N191,'Results Input'!N192,'Results Input'!N193,'Results Input'!N194,'Results Input'!N195)+AVERAGE('Results Input'!N196,'Results Input'!N197,'Results Input'!N198,'Results Input'!N199,'Results Input'!N200,'Results Input'!N201,'Results Input'!N202,'Results Input'!N203,'Results Input'!N204,'Results Input'!N205,'Results Input'!N206,'Results Input'!N207,'Results Input'!N208,'Results Input'!N209,'Results Input'!N210,'Results Input'!N211,'Results Input'!N212,'Results Input'!N213,'Results Input'!N214,'Results Input'!N215,'Results Input'!N216,'Results Input'!N217,'Results Input'!N218,'Results Input'!N219,'Results Input'!N220))/4,"")</f>
        <v/>
      </c>
    </row>
    <row r="24" ht="21.75" customHeight="1" s="66">
      <c r="A24" s="26" t="inlineStr">
        <is>
          <t>Adv RAG +LangGraph</t>
        </is>
      </c>
      <c r="B24" s="44">
        <f>IFERROR(AVERAGE('Results Input'!R221,'Results Input'!R222,'Results Input'!R223,'Results Input'!R224,'Results Input'!R225,'Results Input'!R226,'Results Input'!R227,'Results Input'!R228,'Results Input'!R229,'Results Input'!R230,'Results Input'!R231,'Results Input'!R232,'Results Input'!R233,'Results Input'!R234,'Results Input'!R235,'Results Input'!R236,'Results Input'!R237,'Results Input'!R238,'Results Input'!R239,'Results Input'!R240,'Results Input'!R241,'Results Input'!R242,'Results Input'!R243,'Results Input'!R244,'Results Input'!R245),"")</f>
        <v/>
      </c>
      <c r="C24" s="44">
        <f>IFERROR(AVERAGE('Results Input'!R246,'Results Input'!R247,'Results Input'!R248,'Results Input'!R249,'Results Input'!R250,'Results Input'!R251,'Results Input'!R252,'Results Input'!R253,'Results Input'!R254,'Results Input'!R255,'Results Input'!R256,'Results Input'!R257,'Results Input'!R258,'Results Input'!R259,'Results Input'!R260,'Results Input'!R261,'Results Input'!R262,'Results Input'!R263,'Results Input'!R264,'Results Input'!R265,'Results Input'!R266,'Results Input'!R267,'Results Input'!R268,'Results Input'!R269,'Results Input'!R270),"")</f>
        <v/>
      </c>
      <c r="D24" s="44">
        <f>IFERROR(AVERAGE('Results Input'!R271,'Results Input'!R272,'Results Input'!R273,'Results Input'!R274,'Results Input'!R275,'Results Input'!R276,'Results Input'!R277,'Results Input'!R278,'Results Input'!R279,'Results Input'!R280,'Results Input'!R281,'Results Input'!R282,'Results Input'!R283,'Results Input'!R284,'Results Input'!R285,'Results Input'!R286,'Results Input'!R287,'Results Input'!R288,'Results Input'!R289,'Results Input'!R290,'Results Input'!R291,'Results Input'!R292,'Results Input'!R293,'Results Input'!R294,'Results Input'!R295),"")</f>
        <v/>
      </c>
      <c r="E24" s="44">
        <f>IFERROR(AVERAGE('Results Input'!R296,'Results Input'!R297,'Results Input'!R298,'Results Input'!R299,'Results Input'!R300,'Results Input'!R301,'Results Input'!R302,'Results Input'!R303,'Results Input'!R304,'Results Input'!R305,'Results Input'!R306,'Results Input'!R307,'Results Input'!R308,'Results Input'!R309,'Results Input'!R310,'Results Input'!R311,'Results Input'!R312,'Results Input'!R313,'Results Input'!R314,'Results Input'!R315,'Results Input'!R316,'Results Input'!R317,'Results Input'!R318,'Results Input'!R319,'Results Input'!R320),"")</f>
        <v/>
      </c>
      <c r="F24" s="45">
        <f>IFERROR(AVERAGE(B24:E24),"")</f>
        <v/>
      </c>
      <c r="G24" s="46">
        <f>IFERROR((AVERAGE('Results Input'!N221,'Results Input'!N222,'Results Input'!N223,'Results Input'!N224,'Results Input'!N225,'Results Input'!N226,'Results Input'!N227,'Results Input'!N228,'Results Input'!N229,'Results Input'!N230,'Results Input'!N231,'Results Input'!N232,'Results Input'!N233,'Results Input'!N234,'Results Input'!N235,'Results Input'!N236,'Results Input'!N237,'Results Input'!N238,'Results Input'!N239,'Results Input'!N240,'Results Input'!N241,'Results Input'!N242,'Results Input'!N243,'Results Input'!N244,'Results Input'!N245)+AVERAGE('Results Input'!N246,'Results Input'!N247,'Results Input'!N248,'Results Input'!N249,'Results Input'!N250,'Results Input'!N251,'Results Input'!N252,'Results Input'!N253,'Results Input'!N254,'Results Input'!N255,'Results Input'!N256,'Results Input'!N257,'Results Input'!N258,'Results Input'!N259,'Results Input'!N260,'Results Input'!N261,'Results Input'!N262,'Results Input'!N263,'Results Input'!N264,'Results Input'!N265,'Results Input'!N266,'Results Input'!N267,'Results Input'!N268,'Results Input'!N269,'Results Input'!N270)+AVERAGE('Results Input'!N271,'Results Input'!N272,'Results Input'!N273,'Results Input'!N274,'Results Input'!N275,'Results Input'!N276,'Results Input'!N277,'Results Input'!N278,'Results Input'!N279,'Results Input'!N280,'Results Input'!N281,'Results Input'!N282,'Results Input'!N283,'Results Input'!N284,'Results Input'!N285,'Results Input'!N286,'Results Input'!N287,'Results Input'!N288,'Results Input'!N289,'Results Input'!N290,'Results Input'!N291,'Results Input'!N292,'Results Input'!N293,'Results Input'!N294,'Results Input'!N295)+AVERAGE('Results Input'!N296,'Results Input'!N297,'Results Input'!N298,'Results Input'!N299,'Results Input'!N300,'Results Input'!N301,'Results Input'!N302,'Results Input'!N303,'Results Input'!N304,'Results Input'!N305,'Results Input'!N306,'Results Input'!N307,'Results Input'!N308,'Results Input'!N309,'Results Input'!N310,'Results Input'!N311,'Results Input'!N312,'Results Input'!N313,'Results Input'!N314,'Results Input'!N315,'Results Input'!N316,'Results Input'!N317,'Results Input'!N318,'Results Input'!N319,'Results Input'!N320))/4,"")</f>
        <v/>
      </c>
    </row>
    <row r="25" ht="21.75" customHeight="1" s="66">
      <c r="A25" s="48" t="inlineStr">
        <is>
          <t>Adv RAG + LlamaIndex</t>
        </is>
      </c>
      <c r="B25" s="44">
        <f>IFERROR(AVERAGE('Results Input'!R321,'Results Input'!R322,'Results Input'!R323,'Results Input'!R324,'Results Input'!R325,'Results Input'!R326,'Results Input'!R327,'Results Input'!R328,'Results Input'!R329,'Results Input'!R330,'Results Input'!R331,'Results Input'!R332,'Results Input'!R333,'Results Input'!R334,'Results Input'!R335,'Results Input'!R336,'Results Input'!R337,'Results Input'!R338,'Results Input'!R339,'Results Input'!R340,'Results Input'!R341,'Results Input'!R342,'Results Input'!R343,'Results Input'!R344,'Results Input'!R345),"")</f>
        <v/>
      </c>
      <c r="C25" s="44">
        <f>IFERROR(AVERAGE('Results Input'!R346,'Results Input'!R347,'Results Input'!R348,'Results Input'!R349,'Results Input'!R350,'Results Input'!R351,'Results Input'!R352,'Results Input'!R353,'Results Input'!R354,'Results Input'!R355,'Results Input'!R356,'Results Input'!R357,'Results Input'!R358,'Results Input'!R359,'Results Input'!R360,'Results Input'!R361,'Results Input'!R362,'Results Input'!R363,'Results Input'!R364,'Results Input'!R365,'Results Input'!R366,'Results Input'!R367,'Results Input'!R368,'Results Input'!R369,'Results Input'!R370),"")</f>
        <v/>
      </c>
      <c r="D25" s="44">
        <f>IFERROR(AVERAGE('Results Input'!R371,'Results Input'!R372,'Results Input'!R373,'Results Input'!R374,'Results Input'!R375,'Results Input'!R376,'Results Input'!R377,'Results Input'!R378,'Results Input'!R379,'Results Input'!R380,'Results Input'!R381,'Results Input'!R382,'Results Input'!R383,'Results Input'!R384,'Results Input'!R385,'Results Input'!R386,'Results Input'!R387,'Results Input'!R388,'Results Input'!R389,'Results Input'!R390,'Results Input'!R391,'Results Input'!R392,'Results Input'!R393,'Results Input'!R394,'Results Input'!R395),"")</f>
        <v/>
      </c>
      <c r="E25" s="44">
        <f>IFERROR(AVERAGE('Results Input'!R396,'Results Input'!R397,'Results Input'!R398,'Results Input'!R399,'Results Input'!R400,'Results Input'!R401,'Results Input'!R402,'Results Input'!R403,'Results Input'!R404,'Results Input'!R405,'Results Input'!R406,'Results Input'!R407,'Results Input'!R408,'Results Input'!R409,'Results Input'!R410,'Results Input'!R411,'Results Input'!R412,'Results Input'!R413,'Results Input'!R414,'Results Input'!R415,'Results Input'!R416,'Results Input'!R417,'Results Input'!R418,'Results Input'!R419,'Results Input'!R420),"")</f>
        <v/>
      </c>
      <c r="F25" s="45">
        <f>IFERROR(AVERAGE(B25:E25),"")</f>
        <v/>
      </c>
      <c r="G25" s="46">
        <f>IFERROR((AVERAGE('Results Input'!N321,'Results Input'!N322,'Results Input'!N323,'Results Input'!N324,'Results Input'!N325,'Results Input'!N326,'Results Input'!N327,'Results Input'!N328,'Results Input'!N329,'Results Input'!N330,'Results Input'!N331,'Results Input'!N332,'Results Input'!N333,'Results Input'!N334,'Results Input'!N335,'Results Input'!N336,'Results Input'!N337,'Results Input'!N338,'Results Input'!N339,'Results Input'!N340,'Results Input'!N341,'Results Input'!N342,'Results Input'!N343,'Results Input'!N344,'Results Input'!N345)+AVERAGE('Results Input'!N346,'Results Input'!N347,'Results Input'!N348,'Results Input'!N349,'Results Input'!N350,'Results Input'!N351,'Results Input'!N352,'Results Input'!N353,'Results Input'!N354,'Results Input'!N355,'Results Input'!N356,'Results Input'!N357,'Results Input'!N358,'Results Input'!N359,'Results Input'!N360,'Results Input'!N361,'Results Input'!N362,'Results Input'!N363,'Results Input'!N364,'Results Input'!N365,'Results Input'!N366,'Results Input'!N367,'Results Input'!N368,'Results Input'!N369,'Results Input'!N370)+AVERAGE('Results Input'!N371,'Results Input'!N372,'Results Input'!N373,'Results Input'!N374,'Results Input'!N375,'Results Input'!N376,'Results Input'!N377,'Results Input'!N378,'Results Input'!N379,'Results Input'!N380,'Results Input'!N381,'Results Input'!N382,'Results Input'!N383,'Results Input'!N384,'Results Input'!N385,'Results Input'!N386,'Results Input'!N387,'Results Input'!N388,'Results Input'!N389,'Results Input'!N390,'Results Input'!N391,'Results Input'!N392,'Results Input'!N393,'Results Input'!N394,'Results Input'!N395)+AVERAGE('Results Input'!N396,'Results Input'!N397,'Results Input'!N398,'Results Input'!N399,'Results Input'!N400,'Results Input'!N401,'Results Input'!N402,'Results Input'!N403,'Results Input'!N404,'Results Input'!N405,'Results Input'!N406,'Results Input'!N407,'Results Input'!N408,'Results Input'!N409,'Results Input'!N410,'Results Input'!N411,'Results Input'!N412,'Results Input'!N413,'Results Input'!N414,'Results Input'!N415,'Results Input'!N416,'Results Input'!N417,'Results Input'!N418,'Results Input'!N419,'Results Input'!N420))/4,"")</f>
        <v/>
      </c>
    </row>
    <row r="26" ht="15.75" customHeight="1" s="66"/>
    <row r="27" ht="15.75" customHeight="1" s="66"/>
    <row r="28" ht="15.75" customHeight="1" s="66"/>
    <row r="29" ht="15.75" customHeight="1" s="66"/>
    <row r="30" ht="15.75" customHeight="1" s="66"/>
    <row r="31" ht="15.75" customHeight="1" s="66"/>
    <row r="32" ht="15.75" customHeight="1" s="66"/>
    <row r="33" ht="15.75" customHeight="1" s="66"/>
    <row r="34" ht="15.75" customHeight="1" s="66"/>
    <row r="35" ht="15.75" customHeight="1" s="66"/>
    <row r="36" ht="15.75" customHeight="1" s="66"/>
    <row r="37" ht="15.75" customHeight="1" s="66"/>
    <row r="38" ht="15.75" customHeight="1" s="66"/>
    <row r="39" ht="15.75" customHeight="1" s="66"/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</sheetData>
  <mergeCells count="11">
    <mergeCell ref="B16:G16"/>
    <mergeCell ref="A1:G1"/>
    <mergeCell ref="B14:G14"/>
    <mergeCell ref="A3:G3"/>
    <mergeCell ref="B17:G17"/>
    <mergeCell ref="A20:G20"/>
    <mergeCell ref="A2:G2"/>
    <mergeCell ref="B12:G12"/>
    <mergeCell ref="B13:G13"/>
    <mergeCell ref="A11:G11"/>
    <mergeCell ref="B15:G15"/>
  </mergeCells>
  <conditionalFormatting sqref="B5 B22">
    <cfRule type="colorScale" priority="1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5 C22">
    <cfRule type="colorScale" priority="2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5 D22">
    <cfRule type="colorScale" priority="3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E5 E22">
    <cfRule type="colorScale" priority="4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B6 B23">
    <cfRule type="colorScale" priority="5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6 C23">
    <cfRule type="colorScale" priority="6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6 D23">
    <cfRule type="colorScale" priority="7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E6 E23">
    <cfRule type="colorScale" priority="8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B7 B24">
    <cfRule type="colorScale" priority="9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7 C24">
    <cfRule type="colorScale" priority="10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7 D24">
    <cfRule type="colorScale" priority="11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E7 E24">
    <cfRule type="colorScale" priority="12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B8 B25">
    <cfRule type="colorScale" priority="13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8 C25">
    <cfRule type="colorScale" priority="14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8 D25">
    <cfRule type="colorScale" priority="15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E8 E25">
    <cfRule type="colorScale" priority="16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F5:G8 F22:G25">
    <cfRule type="colorScale" priority="17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4.43" defaultRowHeight="15" customHeight="1"/>
  <cols>
    <col width="26" customWidth="1" style="66" min="1" max="1"/>
    <col width="13" customWidth="1" style="66" min="2" max="8"/>
    <col width="12" customWidth="1" style="66" min="9" max="9"/>
    <col width="13" customWidth="1" style="66" min="10" max="12"/>
    <col width="12" customWidth="1" style="66" min="13" max="13"/>
    <col width="14" customWidth="1" style="66" min="14" max="14"/>
    <col width="8" customWidth="1" style="66" min="15" max="15"/>
    <col width="8.710000000000001" customWidth="1" style="66" min="16" max="27"/>
  </cols>
  <sheetData>
    <row r="1" ht="33.75" customHeight="1" s="66">
      <c r="A1" s="67" t="inlineStr">
        <is>
          <t xml:space="preserve">Metrics Summary — Aggregated per System 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9" t="n"/>
    </row>
    <row r="2" ht="21.75" customHeight="1" s="66">
      <c r="B2" s="9" t="inlineStr">
        <is>
          <t xml:space="preserve">RETRIEVAL </t>
        </is>
      </c>
      <c r="C2" s="68" t="n"/>
      <c r="D2" s="68" t="n"/>
      <c r="E2" s="69" t="n"/>
      <c r="F2" s="57" t="inlineStr">
        <is>
          <t xml:space="preserve">GENERATION </t>
        </is>
      </c>
      <c r="G2" s="68" t="n"/>
      <c r="H2" s="69" t="n"/>
      <c r="I2" s="58" t="inlineStr">
        <is>
          <t xml:space="preserve">TOKEN MATCH </t>
        </is>
      </c>
      <c r="J2" s="68" t="n"/>
      <c r="K2" s="69" t="n"/>
      <c r="L2" s="12" t="inlineStr">
        <is>
          <t xml:space="preserve">AGENTIC </t>
        </is>
      </c>
      <c r="M2" s="69" t="n"/>
      <c r="N2" s="43" t="inlineStr">
        <is>
          <t>COMPOSITE</t>
        </is>
      </c>
      <c r="O2" s="69" t="n"/>
    </row>
    <row r="3" ht="36" customHeight="1" s="66">
      <c r="A3" s="7" t="inlineStr">
        <is>
          <t>System</t>
        </is>
      </c>
      <c r="B3" s="9" t="inlineStr">
        <is>
          <t>Precision</t>
        </is>
      </c>
      <c r="C3" s="9" t="inlineStr">
        <is>
          <t>Recall</t>
        </is>
      </c>
      <c r="D3" s="9" t="inlineStr">
        <is>
          <t xml:space="preserve">Latency </t>
        </is>
      </c>
      <c r="E3" s="9" t="inlineStr">
        <is>
          <t>Relevancy</t>
        </is>
      </c>
      <c r="F3" s="57" t="inlineStr">
        <is>
          <t>Faithfulness</t>
        </is>
      </c>
      <c r="G3" s="57" t="inlineStr">
        <is>
          <t>Ans Relevancy</t>
        </is>
      </c>
      <c r="H3" s="57" t="inlineStr">
        <is>
          <t xml:space="preserve">Hallucination </t>
        </is>
      </c>
      <c r="I3" s="58" t="inlineStr">
        <is>
          <t>F1 (Token)</t>
        </is>
      </c>
      <c r="J3" s="58" t="inlineStr">
        <is>
          <t xml:space="preserve">Precision </t>
        </is>
      </c>
      <c r="K3" s="58" t="inlineStr">
        <is>
          <t>Recall (Token)</t>
        </is>
      </c>
      <c r="L3" s="12" t="inlineStr">
        <is>
          <t>Task Completion</t>
        </is>
      </c>
      <c r="M3" s="12" t="inlineStr">
        <is>
          <t>Accuracy</t>
        </is>
      </c>
      <c r="N3" s="43" t="inlineStr">
        <is>
          <t>Composite Score</t>
        </is>
      </c>
      <c r="O3" s="43" t="inlineStr">
        <is>
          <t>Rank</t>
        </is>
      </c>
    </row>
    <row r="4" ht="21.75" customHeight="1" s="66">
      <c r="A4" s="14" t="inlineStr">
        <is>
          <t>Baseline RAG</t>
        </is>
      </c>
      <c r="B4" s="59">
        <f>IFERROR(AVERAGE('Results Input'!H4:H103),"")</f>
        <v/>
      </c>
      <c r="C4" s="59">
        <f>IFERROR(AVERAGE('Results Input'!I4:I103),"")</f>
        <v/>
      </c>
      <c r="D4" s="59" t="n"/>
      <c r="E4" s="59">
        <f>IFERROR(AVERAGE('Results Input'!J4:J103),"")</f>
        <v/>
      </c>
      <c r="F4" s="59">
        <f>IFERROR(AVERAGE('Results Input'!K4:K103),"")</f>
        <v/>
      </c>
      <c r="G4" s="59">
        <f>IFERROR(AVERAGE('Results Input'!L4:L103),"")</f>
        <v/>
      </c>
      <c r="H4" s="59">
        <f>IFERROR(AVERAGE('Results Input'!M4:M103),"")</f>
        <v/>
      </c>
      <c r="I4" s="59">
        <f>IFERROR(AVERAGE('Results Input'!N4:N103),"")</f>
        <v/>
      </c>
      <c r="J4" s="59">
        <f>IFERROR(AVERAGE('Results Input'!O4:O103),"")</f>
        <v/>
      </c>
      <c r="K4" s="59">
        <f>IFERROR(AVERAGE('Results Input'!P4:P103),"")</f>
        <v/>
      </c>
      <c r="L4" s="59">
        <f>IFERROR(AVERAGE('Results Input'!Q4:Q103),"")</f>
        <v/>
      </c>
      <c r="M4" s="60">
        <f>IFERROR(AVERAGE('Results Input'!R4:R103),"")</f>
        <v/>
      </c>
      <c r="N4" s="46" t="n"/>
      <c r="O4" s="61" t="n"/>
    </row>
    <row r="5" ht="21.75" customHeight="1" s="66">
      <c r="A5" s="47" t="inlineStr">
        <is>
          <t>Adv RAG – Hybrid (BM25+Vector)</t>
        </is>
      </c>
      <c r="B5" s="59">
        <f>IFERROR(AVERAGE('Results Input'!H104:H203),"")</f>
        <v/>
      </c>
      <c r="C5" s="59">
        <f>IFERROR(AVERAGE('Results Input'!I104:I203),"")</f>
        <v/>
      </c>
      <c r="D5" s="59" t="n"/>
      <c r="E5" s="59">
        <f>IFERROR(AVERAGE('Results Input'!J104:J203),"")</f>
        <v/>
      </c>
      <c r="F5" s="59">
        <f>IFERROR(AVERAGE('Results Input'!K104:K203),"")</f>
        <v/>
      </c>
      <c r="G5" s="59">
        <f>IFERROR(AVERAGE('Results Input'!L104:L203),"")</f>
        <v/>
      </c>
      <c r="H5" s="59">
        <f>IFERROR(AVERAGE('Results Input'!M104:M203),"")</f>
        <v/>
      </c>
      <c r="I5" s="59">
        <f>IFERROR(AVERAGE('Results Input'!N104:N203),"")</f>
        <v/>
      </c>
      <c r="J5" s="59">
        <f>IFERROR(AVERAGE('Results Input'!O104:O203),"")</f>
        <v/>
      </c>
      <c r="K5" s="59">
        <f>IFERROR(AVERAGE('Results Input'!P104:P203),"")</f>
        <v/>
      </c>
      <c r="L5" s="59">
        <f>IFERROR(AVERAGE('Results Input'!Q104:Q203),"")</f>
        <v/>
      </c>
      <c r="M5" s="60">
        <f>IFERROR(AVERAGE('Results Input'!R104:R203),"")</f>
        <v/>
      </c>
      <c r="N5" s="46" t="n"/>
      <c r="O5" s="61" t="n"/>
    </row>
    <row r="6" ht="21.75" customHeight="1" s="66">
      <c r="A6" s="26" t="inlineStr">
        <is>
          <t>Adv RAG +LangGraph</t>
        </is>
      </c>
      <c r="B6" s="59">
        <f>IFERROR(AVERAGE('Results Input'!H204:H303),"")</f>
        <v/>
      </c>
      <c r="C6" s="59">
        <f>IFERROR(AVERAGE('Results Input'!I204:I303),"")</f>
        <v/>
      </c>
      <c r="D6" s="59" t="n"/>
      <c r="E6" s="59">
        <f>IFERROR(AVERAGE('Results Input'!J204:J303),"")</f>
        <v/>
      </c>
      <c r="F6" s="59">
        <f>IFERROR(AVERAGE('Results Input'!K204:K303),"")</f>
        <v/>
      </c>
      <c r="G6" s="59">
        <f>IFERROR(AVERAGE('Results Input'!L204:L303),"")</f>
        <v/>
      </c>
      <c r="H6" s="59">
        <f>IFERROR(AVERAGE('Results Input'!M204:M303),"")</f>
        <v/>
      </c>
      <c r="I6" s="59">
        <f>IFERROR(AVERAGE('Results Input'!N204:N303),"")</f>
        <v/>
      </c>
      <c r="J6" s="59">
        <f>IFERROR(AVERAGE('Results Input'!O204:O303),"")</f>
        <v/>
      </c>
      <c r="K6" s="59">
        <f>IFERROR(AVERAGE('Results Input'!P204:P303),"")</f>
        <v/>
      </c>
      <c r="L6" s="59">
        <f>IFERROR(AVERAGE('Results Input'!Q204:Q303),"")</f>
        <v/>
      </c>
      <c r="M6" s="60">
        <f>IFERROR(AVERAGE('Results Input'!R204:R303),"")</f>
        <v/>
      </c>
      <c r="N6" s="46" t="n"/>
      <c r="O6" s="61" t="n"/>
    </row>
    <row r="7" ht="21.75" customHeight="1" s="66">
      <c r="A7" s="48" t="inlineStr">
        <is>
          <t>Adv RAG + LlamaIndex</t>
        </is>
      </c>
      <c r="B7" s="59">
        <f>IFERROR(AVERAGE('Results Input'!H304:H403),"")</f>
        <v/>
      </c>
      <c r="C7" s="59">
        <f>IFERROR(AVERAGE('Results Input'!I304:I403),"")</f>
        <v/>
      </c>
      <c r="D7" s="59" t="n"/>
      <c r="E7" s="59">
        <f>IFERROR(AVERAGE('Results Input'!J304:J403),"")</f>
        <v/>
      </c>
      <c r="F7" s="59">
        <f>IFERROR(AVERAGE('Results Input'!K304:K403),"")</f>
        <v/>
      </c>
      <c r="G7" s="59">
        <f>IFERROR(AVERAGE('Results Input'!L304:L403),"")</f>
        <v/>
      </c>
      <c r="H7" s="59">
        <f>IFERROR(AVERAGE('Results Input'!M304:M403),"")</f>
        <v/>
      </c>
      <c r="I7" s="59">
        <f>IFERROR(AVERAGE('Results Input'!N304:N403),"")</f>
        <v/>
      </c>
      <c r="J7" s="59">
        <f>IFERROR(AVERAGE('Results Input'!O304:O403),"")</f>
        <v/>
      </c>
      <c r="K7" s="59">
        <f>IFERROR(AVERAGE('Results Input'!P304:P403),"")</f>
        <v/>
      </c>
      <c r="L7" s="59">
        <f>IFERROR(AVERAGE('Results Input'!Q304:Q403),"")</f>
        <v/>
      </c>
      <c r="M7" s="60">
        <f>IFERROR(AVERAGE('Results Input'!R304:R403),"")</f>
        <v/>
      </c>
      <c r="N7" s="46" t="n"/>
      <c r="O7" s="61" t="n"/>
    </row>
    <row r="8" ht="21.75" customHeight="1" s="66">
      <c r="A8" s="31" t="n"/>
      <c r="B8" s="59">
        <f>IFERROR(AVERAGE('Results Input'!H404:H503),"")</f>
        <v/>
      </c>
      <c r="C8" s="59">
        <f>IFERROR(AVERAGE('Results Input'!I404:I503),"")</f>
        <v/>
      </c>
      <c r="D8" s="59" t="n"/>
      <c r="E8" s="59">
        <f>IFERROR(AVERAGE('Results Input'!J404:J503),"")</f>
        <v/>
      </c>
      <c r="F8" s="59">
        <f>IFERROR(AVERAGE('Results Input'!K404:K503),"")</f>
        <v/>
      </c>
      <c r="G8" s="59">
        <f>IFERROR(AVERAGE('Results Input'!L404:L503),"")</f>
        <v/>
      </c>
      <c r="H8" s="59">
        <f>IFERROR(AVERAGE('Results Input'!M404:M503),"")</f>
        <v/>
      </c>
      <c r="I8" s="59">
        <f>IFERROR(AVERAGE('Results Input'!N404:N503),"")</f>
        <v/>
      </c>
      <c r="J8" s="59">
        <f>IFERROR(AVERAGE('Results Input'!O404:O503),"")</f>
        <v/>
      </c>
      <c r="K8" s="59">
        <f>IFERROR(AVERAGE('Results Input'!P404:P503),"")</f>
        <v/>
      </c>
      <c r="L8" s="59">
        <f>IFERROR(AVERAGE('Results Input'!Q404:Q503),"")</f>
        <v/>
      </c>
      <c r="M8" s="60">
        <f>IFERROR(AVERAGE('Results Input'!R404:R503),"")</f>
        <v/>
      </c>
      <c r="N8" s="46" t="n"/>
      <c r="O8" s="61" t="n"/>
    </row>
    <row r="20" ht="15.75" customHeight="1" s="66"/>
    <row r="21" ht="15.75" customHeight="1" s="66"/>
    <row r="22" ht="15.75" customHeight="1" s="66"/>
    <row r="23" ht="15.75" customHeight="1" s="66"/>
    <row r="24" ht="15.75" customHeight="1" s="66"/>
    <row r="25" ht="15.75" customHeight="1" s="66"/>
    <row r="26" ht="15.75" customHeight="1" s="66"/>
    <row r="27" ht="15.75" customHeight="1" s="66"/>
    <row r="28" ht="15.75" customHeight="1" s="66"/>
    <row r="29" ht="15.75" customHeight="1" s="66"/>
    <row r="30" ht="15.75" customHeight="1" s="66"/>
    <row r="31" ht="15.75" customHeight="1" s="66"/>
    <row r="32" ht="15.75" customHeight="1" s="66"/>
    <row r="33" ht="15.75" customHeight="1" s="66"/>
    <row r="34" ht="15.75" customHeight="1" s="66"/>
    <row r="35" ht="15.75" customHeight="1" s="66"/>
    <row r="36" ht="15.75" customHeight="1" s="66"/>
    <row r="37" ht="15.75" customHeight="1" s="66"/>
    <row r="38" ht="15.75" customHeight="1" s="66"/>
    <row r="39" ht="15.75" customHeight="1" s="66"/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</sheetData>
  <mergeCells count="6">
    <mergeCell ref="L2:M2"/>
    <mergeCell ref="I2:K2"/>
    <mergeCell ref="N2:O2"/>
    <mergeCell ref="A1:O1"/>
    <mergeCell ref="F2:H2"/>
    <mergeCell ref="B2:E2"/>
  </mergeCells>
  <conditionalFormatting sqref="B4:B8">
    <cfRule type="colorScale" priority="1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4:C8">
    <cfRule type="colorScale" priority="2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4:E8">
    <cfRule type="colorScale" priority="3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F4:F8">
    <cfRule type="colorScale" priority="4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G4:G8">
    <cfRule type="colorScale" priority="5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I4:I8">
    <cfRule type="colorScale" priority="6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J4:J8">
    <cfRule type="colorScale" priority="7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K4:K8">
    <cfRule type="colorScale" priority="8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L4:L8">
    <cfRule type="colorScale" priority="9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M4:M8">
    <cfRule type="colorScale" priority="10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N4:N8">
    <cfRule type="colorScale" priority="11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H4:H8">
    <cfRule type="colorScale" priority="12">
      <colorScale>
        <cfvo type="formula" val="0"/>
        <cfvo type="formula" val="0.5"/>
        <cfvo type="formula" val="1"/>
        <color rgb="FFE1F5EE"/>
        <color rgb="FFFAEEDA"/>
        <color rgb="FFFCEBEB"/>
      </colorScale>
    </cfRule>
  </conditionalFormatting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/>
  <cols>
    <col width="28" customWidth="1" style="66" min="1" max="1"/>
    <col width="14" customWidth="1" style="66" min="2" max="7"/>
    <col width="8.710000000000001" customWidth="1" style="66" min="8" max="26"/>
  </cols>
  <sheetData>
    <row r="1" ht="33.75" customHeight="1" s="66">
      <c r="A1" s="67" t="inlineStr">
        <is>
          <t>Performance Breakdown by Question Type  |  Extractive · Paraphrased · Reasoning · Hallucination</t>
        </is>
      </c>
      <c r="B1" s="68" t="n"/>
      <c r="C1" s="68" t="n"/>
      <c r="D1" s="68" t="n"/>
      <c r="E1" s="68" t="n"/>
      <c r="F1" s="68" t="n"/>
      <c r="G1" s="69" t="n"/>
    </row>
    <row r="2" ht="18" customHeight="1" s="66">
      <c r="A2" s="71" t="inlineStr">
        <is>
          <t>Each cell = AVERAGE of that metric for that system × question type. Fill Results Input first. Hallucination type = REFUSE questions — Task Completion = correct refusal rate.</t>
        </is>
      </c>
      <c r="B2" s="68" t="n"/>
      <c r="C2" s="68" t="n"/>
      <c r="D2" s="68" t="n"/>
      <c r="E2" s="68" t="n"/>
      <c r="F2" s="68" t="n"/>
      <c r="G2" s="69" t="n"/>
    </row>
    <row r="3" ht="21.75" customHeight="1" s="66">
      <c r="A3" s="43" t="inlineStr">
        <is>
          <t>EXTRACTIVE  (25 questions — form 10-K &amp; 10-Q)</t>
        </is>
      </c>
      <c r="B3" s="68" t="n"/>
      <c r="C3" s="68" t="n"/>
      <c r="D3" s="68" t="n"/>
      <c r="E3" s="68" t="n"/>
      <c r="F3" s="68" t="n"/>
      <c r="G3" s="69" t="n"/>
    </row>
    <row r="4" ht="27.75" customHeight="1" s="66">
      <c r="A4" s="7" t="inlineStr">
        <is>
          <t>System</t>
        </is>
      </c>
      <c r="B4" s="57" t="inlineStr">
        <is>
          <t>Faithfulness</t>
        </is>
      </c>
      <c r="C4" s="57" t="inlineStr">
        <is>
          <t>Ans Relevancy</t>
        </is>
      </c>
      <c r="D4" s="57" t="inlineStr">
        <is>
          <t>Hallucination↓</t>
        </is>
      </c>
      <c r="E4" s="58" t="inlineStr">
        <is>
          <t>F1 Token</t>
        </is>
      </c>
      <c r="F4" s="12" t="inlineStr">
        <is>
          <t>Task Completion</t>
        </is>
      </c>
      <c r="G4" s="12" t="inlineStr">
        <is>
          <t>Accuracy</t>
        </is>
      </c>
    </row>
    <row r="5" ht="18" customHeight="1" s="66">
      <c r="A5" s="14" t="inlineStr">
        <is>
          <t>Baseline RAG</t>
        </is>
      </c>
      <c r="B5" s="62">
        <f>IFERROR(AVERAGE('Results Input'!K4,'Results Input'!K5,'Results Input'!K6,'Results Input'!K7,'Results Input'!K8,'Results Input'!K9,'Results Input'!K10,'Results Input'!K11,'Results Input'!K12,'Results Input'!K13,'Results Input'!K14,'Results Input'!K15,'Results Input'!K16,'Results Input'!K17,'Results Input'!K18,'Results Input'!K19,'Results Input'!K20,'Results Input'!K21,'Results Input'!K22,'Results Input'!K23,'Results Input'!K24,'Results Input'!K25,'Results Input'!K26,'Results Input'!K27,'Results Input'!K28),"")</f>
        <v/>
      </c>
      <c r="C5" s="62">
        <f>IFERROR(AVERAGE('Results Input'!L4,'Results Input'!L5,'Results Input'!L6,'Results Input'!L7,'Results Input'!L8,'Results Input'!L9,'Results Input'!L10,'Results Input'!L11,'Results Input'!L12,'Results Input'!L13,'Results Input'!L14,'Results Input'!L15,'Results Input'!L16,'Results Input'!L17,'Results Input'!L18,'Results Input'!L19,'Results Input'!L20,'Results Input'!L21,'Results Input'!L22,'Results Input'!L23,'Results Input'!L24,'Results Input'!L25,'Results Input'!L26,'Results Input'!L27,'Results Input'!L28),"")</f>
        <v/>
      </c>
      <c r="D5" s="62">
        <f>IFERROR(AVERAGE('Results Input'!M4,'Results Input'!M5,'Results Input'!M6,'Results Input'!M7,'Results Input'!M8,'Results Input'!M9,'Results Input'!M10,'Results Input'!M11,'Results Input'!M12,'Results Input'!M13,'Results Input'!M14,'Results Input'!M15,'Results Input'!M16,'Results Input'!M17,'Results Input'!M18,'Results Input'!M19,'Results Input'!M20,'Results Input'!M21,'Results Input'!M22,'Results Input'!M23,'Results Input'!M24,'Results Input'!M25,'Results Input'!M26,'Results Input'!M27,'Results Input'!M28),"")</f>
        <v/>
      </c>
      <c r="E5" s="62">
        <f>IFERROR(AVERAGE('Results Input'!N4,'Results Input'!N5,'Results Input'!N6,'Results Input'!N7,'Results Input'!N8,'Results Input'!N9,'Results Input'!N10,'Results Input'!N11,'Results Input'!N12,'Results Input'!N13,'Results Input'!N14,'Results Input'!N15,'Results Input'!N16,'Results Input'!N17,'Results Input'!N18,'Results Input'!N19,'Results Input'!N20,'Results Input'!N21,'Results Input'!N22,'Results Input'!N23,'Results Input'!N24,'Results Input'!N25,'Results Input'!N26,'Results Input'!N27,'Results Input'!N28),"")</f>
        <v/>
      </c>
      <c r="F5" s="62">
        <f>IFERROR(AVERAGE('Results Input'!Q4,'Results Input'!Q5,'Results Input'!Q6,'Results Input'!Q7,'Results Input'!Q8,'Results Input'!Q9,'Results Input'!Q10,'Results Input'!Q11,'Results Input'!Q12,'Results Input'!Q13,'Results Input'!Q14,'Results Input'!Q15,'Results Input'!Q16,'Results Input'!Q17,'Results Input'!Q18,'Results Input'!Q19,'Results Input'!Q20,'Results Input'!Q21,'Results Input'!Q22,'Results Input'!Q23,'Results Input'!Q24,'Results Input'!Q25,'Results Input'!Q26,'Results Input'!Q27,'Results Input'!Q28),"")</f>
        <v/>
      </c>
      <c r="G5" s="62">
        <f>IFERROR(AVERAGE('Results Input'!R4,'Results Input'!R5,'Results Input'!R6,'Results Input'!R7,'Results Input'!R8,'Results Input'!R9,'Results Input'!R10,'Results Input'!R11,'Results Input'!R12,'Results Input'!R13,'Results Input'!R14,'Results Input'!R15,'Results Input'!R16,'Results Input'!R17,'Results Input'!R18,'Results Input'!R19,'Results Input'!R20,'Results Input'!R21,'Results Input'!R22,'Results Input'!R23,'Results Input'!R24,'Results Input'!R25,'Results Input'!R26,'Results Input'!R27,'Results Input'!R28),"")</f>
        <v/>
      </c>
    </row>
    <row r="6" ht="18" customHeight="1" s="66">
      <c r="A6" s="47" t="inlineStr">
        <is>
          <t>Adv RAG – Hybrid (BM25+Vector)</t>
        </is>
      </c>
      <c r="B6" s="62">
        <f>IFERROR(AVERAGE('Results Input'!K104,'Results Input'!K105,'Results Input'!K106,'Results Input'!K107,'Results Input'!K108,'Results Input'!K109,'Results Input'!K110,'Results Input'!K111,'Results Input'!K112,'Results Input'!K113,'Results Input'!K114,'Results Input'!K115,'Results Input'!K116,'Results Input'!K117,'Results Input'!K118,'Results Input'!K119,'Results Input'!K120,'Results Input'!K121,'Results Input'!K122,'Results Input'!K123,'Results Input'!K124,'Results Input'!K125,'Results Input'!K126,'Results Input'!K127,'Results Input'!K128),"")</f>
        <v/>
      </c>
      <c r="C6" s="62">
        <f>IFERROR(AVERAGE('Results Input'!L104,'Results Input'!L105,'Results Input'!L106,'Results Input'!L107,'Results Input'!L108,'Results Input'!L109,'Results Input'!L110,'Results Input'!L111,'Results Input'!L112,'Results Input'!L113,'Results Input'!L114,'Results Input'!L115,'Results Input'!L116,'Results Input'!L117,'Results Input'!L118,'Results Input'!L119,'Results Input'!L120,'Results Input'!L121,'Results Input'!L122,'Results Input'!L123,'Results Input'!L124,'Results Input'!L125,'Results Input'!L126,'Results Input'!L127,'Results Input'!L128),"")</f>
        <v/>
      </c>
      <c r="D6" s="62">
        <f>IFERROR(AVERAGE('Results Input'!M104,'Results Input'!M105,'Results Input'!M106,'Results Input'!M107,'Results Input'!M108,'Results Input'!M109,'Results Input'!M110,'Results Input'!M111,'Results Input'!M112,'Results Input'!M113,'Results Input'!M114,'Results Input'!M115,'Results Input'!M116,'Results Input'!M117,'Results Input'!M118,'Results Input'!M119,'Results Input'!M120,'Results Input'!M121,'Results Input'!M122,'Results Input'!M123,'Results Input'!M124,'Results Input'!M125,'Results Input'!M126,'Results Input'!M127,'Results Input'!M128),"")</f>
        <v/>
      </c>
      <c r="E6" s="62">
        <f>IFERROR(AVERAGE('Results Input'!N104,'Results Input'!N105,'Results Input'!N106,'Results Input'!N107,'Results Input'!N108,'Results Input'!N109,'Results Input'!N110,'Results Input'!N111,'Results Input'!N112,'Results Input'!N113,'Results Input'!N114,'Results Input'!N115,'Results Input'!N116,'Results Input'!N117,'Results Input'!N118,'Results Input'!N119,'Results Input'!N120,'Results Input'!N121,'Results Input'!N122,'Results Input'!N123,'Results Input'!N124,'Results Input'!N125,'Results Input'!N126,'Results Input'!N127,'Results Input'!N128),"")</f>
        <v/>
      </c>
      <c r="F6" s="62">
        <f>IFERROR(AVERAGE('Results Input'!Q104,'Results Input'!Q105,'Results Input'!Q106,'Results Input'!Q107,'Results Input'!Q108,'Results Input'!Q109,'Results Input'!Q110,'Results Input'!Q111,'Results Input'!Q112,'Results Input'!Q113,'Results Input'!Q114,'Results Input'!Q115,'Results Input'!Q116,'Results Input'!Q117,'Results Input'!Q118,'Results Input'!Q119,'Results Input'!Q120,'Results Input'!Q121,'Results Input'!Q122,'Results Input'!Q123,'Results Input'!Q124,'Results Input'!Q125,'Results Input'!Q126,'Results Input'!Q127,'Results Input'!Q128),"")</f>
        <v/>
      </c>
      <c r="G6" s="62">
        <f>IFERROR(AVERAGE('Results Input'!R104,'Results Input'!R105,'Results Input'!R106,'Results Input'!R107,'Results Input'!R108,'Results Input'!R109,'Results Input'!R110,'Results Input'!R111,'Results Input'!R112,'Results Input'!R113,'Results Input'!R114,'Results Input'!R115,'Results Input'!R116,'Results Input'!R117,'Results Input'!R118,'Results Input'!R119,'Results Input'!R120,'Results Input'!R121,'Results Input'!R122,'Results Input'!R123,'Results Input'!R124,'Results Input'!R125,'Results Input'!R126,'Results Input'!R127,'Results Input'!R128),"")</f>
        <v/>
      </c>
    </row>
    <row r="7" ht="18" customHeight="1" s="66">
      <c r="A7" s="26" t="inlineStr">
        <is>
          <t>Adv RAG +LangGraph</t>
        </is>
      </c>
      <c r="B7" s="62">
        <f>IFERROR(AVERAGE('Results Input'!K204,'Results Input'!K205,'Results Input'!K206,'Results Input'!K207,'Results Input'!K208,'Results Input'!K209,'Results Input'!K210,'Results Input'!K211,'Results Input'!K212,'Results Input'!K213,'Results Input'!K214,'Results Input'!K215,'Results Input'!K216,'Results Input'!K217,'Results Input'!K218,'Results Input'!K219,'Results Input'!K220,'Results Input'!K221,'Results Input'!K222,'Results Input'!K223,'Results Input'!K224,'Results Input'!K225,'Results Input'!K226,'Results Input'!K227,'Results Input'!K228),"")</f>
        <v/>
      </c>
      <c r="C7" s="62">
        <f>IFERROR(AVERAGE('Results Input'!L204,'Results Input'!L205,'Results Input'!L206,'Results Input'!L207,'Results Input'!L208,'Results Input'!L209,'Results Input'!L210,'Results Input'!L211,'Results Input'!L212,'Results Input'!L213,'Results Input'!L214,'Results Input'!L215,'Results Input'!L216,'Results Input'!L217,'Results Input'!L218,'Results Input'!L219,'Results Input'!L220,'Results Input'!L221,'Results Input'!L222,'Results Input'!L223,'Results Input'!L224,'Results Input'!L225,'Results Input'!L226,'Results Input'!L227,'Results Input'!L228),"")</f>
        <v/>
      </c>
      <c r="D7" s="62">
        <f>IFERROR(AVERAGE('Results Input'!M204,'Results Input'!M205,'Results Input'!M206,'Results Input'!M207,'Results Input'!M208,'Results Input'!M209,'Results Input'!M210,'Results Input'!M211,'Results Input'!M212,'Results Input'!M213,'Results Input'!M214,'Results Input'!M215,'Results Input'!M216,'Results Input'!M217,'Results Input'!M218,'Results Input'!M219,'Results Input'!M220,'Results Input'!M221,'Results Input'!M222,'Results Input'!M223,'Results Input'!M224,'Results Input'!M225,'Results Input'!M226,'Results Input'!M227,'Results Input'!M228),"")</f>
        <v/>
      </c>
      <c r="E7" s="62">
        <f>IFERROR(AVERAGE('Results Input'!N204,'Results Input'!N205,'Results Input'!N206,'Results Input'!N207,'Results Input'!N208,'Results Input'!N209,'Results Input'!N210,'Results Input'!N211,'Results Input'!N212,'Results Input'!N213,'Results Input'!N214,'Results Input'!N215,'Results Input'!N216,'Results Input'!N217,'Results Input'!N218,'Results Input'!N219,'Results Input'!N220,'Results Input'!N221,'Results Input'!N222,'Results Input'!N223,'Results Input'!N224,'Results Input'!N225,'Results Input'!N226,'Results Input'!N227,'Results Input'!N228),"")</f>
        <v/>
      </c>
      <c r="F7" s="62">
        <f>IFERROR(AVERAGE('Results Input'!Q204,'Results Input'!Q205,'Results Input'!Q206,'Results Input'!Q207,'Results Input'!Q208,'Results Input'!Q209,'Results Input'!Q210,'Results Input'!Q211,'Results Input'!Q212,'Results Input'!Q213,'Results Input'!Q214,'Results Input'!Q215,'Results Input'!Q216,'Results Input'!Q217,'Results Input'!Q218,'Results Input'!Q219,'Results Input'!Q220,'Results Input'!Q221,'Results Input'!Q222,'Results Input'!Q223,'Results Input'!Q224,'Results Input'!Q225,'Results Input'!Q226,'Results Input'!Q227,'Results Input'!Q228),"")</f>
        <v/>
      </c>
      <c r="G7" s="62">
        <f>IFERROR(AVERAGE('Results Input'!R204,'Results Input'!R205,'Results Input'!R206,'Results Input'!R207,'Results Input'!R208,'Results Input'!R209,'Results Input'!R210,'Results Input'!R211,'Results Input'!R212,'Results Input'!R213,'Results Input'!R214,'Results Input'!R215,'Results Input'!R216,'Results Input'!R217,'Results Input'!R218,'Results Input'!R219,'Results Input'!R220,'Results Input'!R221,'Results Input'!R222,'Results Input'!R223,'Results Input'!R224,'Results Input'!R225,'Results Input'!R226,'Results Input'!R227,'Results Input'!R228),"")</f>
        <v/>
      </c>
    </row>
    <row r="8" ht="18" customHeight="1" s="66">
      <c r="A8" s="48" t="inlineStr">
        <is>
          <t>Adv RAG + LlamaIndex</t>
        </is>
      </c>
      <c r="B8" s="62">
        <f>IFERROR(AVERAGE('Results Input'!K304,'Results Input'!K305,'Results Input'!K306,'Results Input'!K307,'Results Input'!K308,'Results Input'!K309,'Results Input'!K310,'Results Input'!K311,'Results Input'!K312,'Results Input'!K313,'Results Input'!K314,'Results Input'!K315,'Results Input'!K316,'Results Input'!K317,'Results Input'!K318,'Results Input'!K319,'Results Input'!K320,'Results Input'!K321,'Results Input'!K322,'Results Input'!K323,'Results Input'!K324,'Results Input'!K325,'Results Input'!K326,'Results Input'!K327,'Results Input'!K328),"")</f>
        <v/>
      </c>
      <c r="C8" s="62">
        <f>IFERROR(AVERAGE('Results Input'!L304,'Results Input'!L305,'Results Input'!L306,'Results Input'!L307,'Results Input'!L308,'Results Input'!L309,'Results Input'!L310,'Results Input'!L311,'Results Input'!L312,'Results Input'!L313,'Results Input'!L314,'Results Input'!L315,'Results Input'!L316,'Results Input'!L317,'Results Input'!L318,'Results Input'!L319,'Results Input'!L320,'Results Input'!L321,'Results Input'!L322,'Results Input'!L323,'Results Input'!L324,'Results Input'!L325,'Results Input'!L326,'Results Input'!L327,'Results Input'!L328),"")</f>
        <v/>
      </c>
      <c r="D8" s="62">
        <f>IFERROR(AVERAGE('Results Input'!M304,'Results Input'!M305,'Results Input'!M306,'Results Input'!M307,'Results Input'!M308,'Results Input'!M309,'Results Input'!M310,'Results Input'!M311,'Results Input'!M312,'Results Input'!M313,'Results Input'!M314,'Results Input'!M315,'Results Input'!M316,'Results Input'!M317,'Results Input'!M318,'Results Input'!M319,'Results Input'!M320,'Results Input'!M321,'Results Input'!M322,'Results Input'!M323,'Results Input'!M324,'Results Input'!M325,'Results Input'!M326,'Results Input'!M327,'Results Input'!M328),"")</f>
        <v/>
      </c>
      <c r="E8" s="62">
        <f>IFERROR(AVERAGE('Results Input'!N304,'Results Input'!N305,'Results Input'!N306,'Results Input'!N307,'Results Input'!N308,'Results Input'!N309,'Results Input'!N310,'Results Input'!N311,'Results Input'!N312,'Results Input'!N313,'Results Input'!N314,'Results Input'!N315,'Results Input'!N316,'Results Input'!N317,'Results Input'!N318,'Results Input'!N319,'Results Input'!N320,'Results Input'!N321,'Results Input'!N322,'Results Input'!N323,'Results Input'!N324,'Results Input'!N325,'Results Input'!N326,'Results Input'!N327,'Results Input'!N328),"")</f>
        <v/>
      </c>
      <c r="F8" s="62">
        <f>IFERROR(AVERAGE('Results Input'!Q304,'Results Input'!Q305,'Results Input'!Q306,'Results Input'!Q307,'Results Input'!Q308,'Results Input'!Q309,'Results Input'!Q310,'Results Input'!Q311,'Results Input'!Q312,'Results Input'!Q313,'Results Input'!Q314,'Results Input'!Q315,'Results Input'!Q316,'Results Input'!Q317,'Results Input'!Q318,'Results Input'!Q319,'Results Input'!Q320,'Results Input'!Q321,'Results Input'!Q322,'Results Input'!Q323,'Results Input'!Q324,'Results Input'!Q325,'Results Input'!Q326,'Results Input'!Q327,'Results Input'!Q328),"")</f>
        <v/>
      </c>
      <c r="G8" s="62">
        <f>IFERROR(AVERAGE('Results Input'!R304,'Results Input'!R305,'Results Input'!R306,'Results Input'!R307,'Results Input'!R308,'Results Input'!R309,'Results Input'!R310,'Results Input'!R311,'Results Input'!R312,'Results Input'!R313,'Results Input'!R314,'Results Input'!R315,'Results Input'!R316,'Results Input'!R317,'Results Input'!R318,'Results Input'!R319,'Results Input'!R320,'Results Input'!R321,'Results Input'!R322,'Results Input'!R323,'Results Input'!R324,'Results Input'!R325,'Results Input'!R326,'Results Input'!R327,'Results Input'!R328),"")</f>
        <v/>
      </c>
    </row>
    <row r="10" ht="21.75" customHeight="1" s="66">
      <c r="A10" s="57" t="inlineStr">
        <is>
          <t>PARAPHRASED  (25 questions — form 10-K &amp; 10-Q)</t>
        </is>
      </c>
      <c r="B10" s="68" t="n"/>
      <c r="C10" s="68" t="n"/>
      <c r="D10" s="68" t="n"/>
      <c r="E10" s="68" t="n"/>
      <c r="F10" s="68" t="n"/>
      <c r="G10" s="69" t="n"/>
    </row>
    <row r="11" ht="27.75" customHeight="1" s="66">
      <c r="A11" s="7" t="inlineStr">
        <is>
          <t>System</t>
        </is>
      </c>
      <c r="B11" s="57" t="inlineStr">
        <is>
          <t>Faithfulness</t>
        </is>
      </c>
      <c r="C11" s="57" t="inlineStr">
        <is>
          <t>Ans Relevancy</t>
        </is>
      </c>
      <c r="D11" s="57" t="inlineStr">
        <is>
          <t>Hallucination↓</t>
        </is>
      </c>
      <c r="E11" s="58" t="inlineStr">
        <is>
          <t>F1 Token</t>
        </is>
      </c>
      <c r="F11" s="12" t="inlineStr">
        <is>
          <t>Task Completion</t>
        </is>
      </c>
      <c r="G11" s="12" t="inlineStr">
        <is>
          <t>Accuracy</t>
        </is>
      </c>
    </row>
    <row r="12" ht="18" customHeight="1" s="66">
      <c r="A12" s="14" t="inlineStr">
        <is>
          <t>Baseline RAG</t>
        </is>
      </c>
      <c r="B12" s="62">
        <f>IFERROR(AVERAGE('Results Input'!K29,'Results Input'!K30,'Results Input'!K31,'Results Input'!K32,'Results Input'!K33,'Results Input'!K34,'Results Input'!K35,'Results Input'!K36,'Results Input'!K37,'Results Input'!K38,'Results Input'!K39,'Results Input'!K40,'Results Input'!K41,'Results Input'!K42,'Results Input'!K43,'Results Input'!K44,'Results Input'!K45,'Results Input'!K46,'Results Input'!K47,'Results Input'!K48,'Results Input'!K49,'Results Input'!K50,'Results Input'!K51,'Results Input'!K52,'Results Input'!K53),"")</f>
        <v/>
      </c>
      <c r="C12" s="62">
        <f>IFERROR(AVERAGE('Results Input'!L29,'Results Input'!L30,'Results Input'!L31,'Results Input'!L32,'Results Input'!L33,'Results Input'!L34,'Results Input'!L35,'Results Input'!L36,'Results Input'!L37,'Results Input'!L38,'Results Input'!L39,'Results Input'!L40,'Results Input'!L41,'Results Input'!L42,'Results Input'!L43,'Results Input'!L44,'Results Input'!L45,'Results Input'!L46,'Results Input'!L47,'Results Input'!L48,'Results Input'!L49,'Results Input'!L50,'Results Input'!L51,'Results Input'!L52,'Results Input'!L53),"")</f>
        <v/>
      </c>
      <c r="D12" s="62">
        <f>IFERROR(AVERAGE('Results Input'!M29,'Results Input'!M30,'Results Input'!M31,'Results Input'!M32,'Results Input'!M33,'Results Input'!M34,'Results Input'!M35,'Results Input'!M36,'Results Input'!M37,'Results Input'!M38,'Results Input'!M39,'Results Input'!M40,'Results Input'!M41,'Results Input'!M42,'Results Input'!M43,'Results Input'!M44,'Results Input'!M45,'Results Input'!M46,'Results Input'!M47,'Results Input'!M48,'Results Input'!M49,'Results Input'!M50,'Results Input'!M51,'Results Input'!M52,'Results Input'!M53),"")</f>
        <v/>
      </c>
      <c r="E12" s="62">
        <f>IFERROR(AVERAGE('Results Input'!N29,'Results Input'!N30,'Results Input'!N31,'Results Input'!N32,'Results Input'!N33,'Results Input'!N34,'Results Input'!N35,'Results Input'!N36,'Results Input'!N37,'Results Input'!N38,'Results Input'!N39,'Results Input'!N40,'Results Input'!N41,'Results Input'!N42,'Results Input'!N43,'Results Input'!N44,'Results Input'!N45,'Results Input'!N46,'Results Input'!N47,'Results Input'!N48,'Results Input'!N49,'Results Input'!N50,'Results Input'!N51,'Results Input'!N52,'Results Input'!N53),"")</f>
        <v/>
      </c>
      <c r="F12" s="62">
        <f>IFERROR(AVERAGE('Results Input'!Q29,'Results Input'!Q30,'Results Input'!Q31,'Results Input'!Q32,'Results Input'!Q33,'Results Input'!Q34,'Results Input'!Q35,'Results Input'!Q36,'Results Input'!Q37,'Results Input'!Q38,'Results Input'!Q39,'Results Input'!Q40,'Results Input'!Q41,'Results Input'!Q42,'Results Input'!Q43,'Results Input'!Q44,'Results Input'!Q45,'Results Input'!Q46,'Results Input'!Q47,'Results Input'!Q48,'Results Input'!Q49,'Results Input'!Q50,'Results Input'!Q51,'Results Input'!Q52,'Results Input'!Q53),"")</f>
        <v/>
      </c>
      <c r="G12" s="62">
        <f>IFERROR(AVERAGE('Results Input'!R29,'Results Input'!R30,'Results Input'!R31,'Results Input'!R32,'Results Input'!R33,'Results Input'!R34,'Results Input'!R35,'Results Input'!R36,'Results Input'!R37,'Results Input'!R38,'Results Input'!R39,'Results Input'!R40,'Results Input'!R41,'Results Input'!R42,'Results Input'!R43,'Results Input'!R44,'Results Input'!R45,'Results Input'!R46,'Results Input'!R47,'Results Input'!R48,'Results Input'!R49,'Results Input'!R50,'Results Input'!R51,'Results Input'!R52,'Results Input'!R53),"")</f>
        <v/>
      </c>
    </row>
    <row r="13" ht="18" customHeight="1" s="66">
      <c r="A13" s="47" t="inlineStr">
        <is>
          <t>Adv RAG – Hybrid (BM25+Vector)</t>
        </is>
      </c>
      <c r="B13" s="62">
        <f>IFERROR(AVERAGE('Results Input'!K129,'Results Input'!K130,'Results Input'!K131,'Results Input'!K132,'Results Input'!K133,'Results Input'!K134,'Results Input'!K135,'Results Input'!K136,'Results Input'!K137,'Results Input'!K138,'Results Input'!K139,'Results Input'!K140,'Results Input'!K141,'Results Input'!K142,'Results Input'!K143,'Results Input'!K144,'Results Input'!K145,'Results Input'!K146,'Results Input'!K147,'Results Input'!K148,'Results Input'!K149,'Results Input'!K150,'Results Input'!K151,'Results Input'!K152,'Results Input'!K153),"")</f>
        <v/>
      </c>
      <c r="C13" s="62">
        <f>IFERROR(AVERAGE('Results Input'!L129,'Results Input'!L130,'Results Input'!L131,'Results Input'!L132,'Results Input'!L133,'Results Input'!L134,'Results Input'!L135,'Results Input'!L136,'Results Input'!L137,'Results Input'!L138,'Results Input'!L139,'Results Input'!L140,'Results Input'!L141,'Results Input'!L142,'Results Input'!L143,'Results Input'!L144,'Results Input'!L145,'Results Input'!L146,'Results Input'!L147,'Results Input'!L148,'Results Input'!L149,'Results Input'!L150,'Results Input'!L151,'Results Input'!L152,'Results Input'!L153),"")</f>
        <v/>
      </c>
      <c r="D13" s="62">
        <f>IFERROR(AVERAGE('Results Input'!M129,'Results Input'!M130,'Results Input'!M131,'Results Input'!M132,'Results Input'!M133,'Results Input'!M134,'Results Input'!M135,'Results Input'!M136,'Results Input'!M137,'Results Input'!M138,'Results Input'!M139,'Results Input'!M140,'Results Input'!M141,'Results Input'!M142,'Results Input'!M143,'Results Input'!M144,'Results Input'!M145,'Results Input'!M146,'Results Input'!M147,'Results Input'!M148,'Results Input'!M149,'Results Input'!M150,'Results Input'!M151,'Results Input'!M152,'Results Input'!M153),"")</f>
        <v/>
      </c>
      <c r="E13" s="62">
        <f>IFERROR(AVERAGE('Results Input'!N129,'Results Input'!N130,'Results Input'!N131,'Results Input'!N132,'Results Input'!N133,'Results Input'!N134,'Results Input'!N135,'Results Input'!N136,'Results Input'!N137,'Results Input'!N138,'Results Input'!N139,'Results Input'!N140,'Results Input'!N141,'Results Input'!N142,'Results Input'!N143,'Results Input'!N144,'Results Input'!N145,'Results Input'!N146,'Results Input'!N147,'Results Input'!N148,'Results Input'!N149,'Results Input'!N150,'Results Input'!N151,'Results Input'!N152,'Results Input'!N153),"")</f>
        <v/>
      </c>
      <c r="F13" s="62">
        <f>IFERROR(AVERAGE('Results Input'!Q129,'Results Input'!Q130,'Results Input'!Q131,'Results Input'!Q132,'Results Input'!Q133,'Results Input'!Q134,'Results Input'!Q135,'Results Input'!Q136,'Results Input'!Q137,'Results Input'!Q138,'Results Input'!Q139,'Results Input'!Q140,'Results Input'!Q141,'Results Input'!Q142,'Results Input'!Q143,'Results Input'!Q144,'Results Input'!Q145,'Results Input'!Q146,'Results Input'!Q147,'Results Input'!Q148,'Results Input'!Q149,'Results Input'!Q150,'Results Input'!Q151,'Results Input'!Q152,'Results Input'!Q153),"")</f>
        <v/>
      </c>
      <c r="G13" s="62">
        <f>IFERROR(AVERAGE('Results Input'!R129,'Results Input'!R130,'Results Input'!R131,'Results Input'!R132,'Results Input'!R133,'Results Input'!R134,'Results Input'!R135,'Results Input'!R136,'Results Input'!R137,'Results Input'!R138,'Results Input'!R139,'Results Input'!R140,'Results Input'!R141,'Results Input'!R142,'Results Input'!R143,'Results Input'!R144,'Results Input'!R145,'Results Input'!R146,'Results Input'!R147,'Results Input'!R148,'Results Input'!R149,'Results Input'!R150,'Results Input'!R151,'Results Input'!R152,'Results Input'!R153),"")</f>
        <v/>
      </c>
    </row>
    <row r="14" ht="18" customHeight="1" s="66">
      <c r="A14" s="26" t="inlineStr">
        <is>
          <t>Adv RAG +LangGraph</t>
        </is>
      </c>
      <c r="B14" s="62">
        <f>IFERROR(AVERAGE('Results Input'!K229,'Results Input'!K230,'Results Input'!K231,'Results Input'!K232,'Results Input'!K233,'Results Input'!K234,'Results Input'!K235,'Results Input'!K236,'Results Input'!K237,'Results Input'!K238,'Results Input'!K239,'Results Input'!K240,'Results Input'!K241,'Results Input'!K242,'Results Input'!K243,'Results Input'!K244,'Results Input'!K245,'Results Input'!K246,'Results Input'!K247,'Results Input'!K248,'Results Input'!K249,'Results Input'!K250,'Results Input'!K251,'Results Input'!K252,'Results Input'!K253),"")</f>
        <v/>
      </c>
      <c r="C14" s="62">
        <f>IFERROR(AVERAGE('Results Input'!L229,'Results Input'!L230,'Results Input'!L231,'Results Input'!L232,'Results Input'!L233,'Results Input'!L234,'Results Input'!L235,'Results Input'!L236,'Results Input'!L237,'Results Input'!L238,'Results Input'!L239,'Results Input'!L240,'Results Input'!L241,'Results Input'!L242,'Results Input'!L243,'Results Input'!L244,'Results Input'!L245,'Results Input'!L246,'Results Input'!L247,'Results Input'!L248,'Results Input'!L249,'Results Input'!L250,'Results Input'!L251,'Results Input'!L252,'Results Input'!L253),"")</f>
        <v/>
      </c>
      <c r="D14" s="62">
        <f>IFERROR(AVERAGE('Results Input'!M229,'Results Input'!M230,'Results Input'!M231,'Results Input'!M232,'Results Input'!M233,'Results Input'!M234,'Results Input'!M235,'Results Input'!M236,'Results Input'!M237,'Results Input'!M238,'Results Input'!M239,'Results Input'!M240,'Results Input'!M241,'Results Input'!M242,'Results Input'!M243,'Results Input'!M244,'Results Input'!M245,'Results Input'!M246,'Results Input'!M247,'Results Input'!M248,'Results Input'!M249,'Results Input'!M250,'Results Input'!M251,'Results Input'!M252,'Results Input'!M253),"")</f>
        <v/>
      </c>
      <c r="E14" s="62">
        <f>IFERROR(AVERAGE('Results Input'!N229,'Results Input'!N230,'Results Input'!N231,'Results Input'!N232,'Results Input'!N233,'Results Input'!N234,'Results Input'!N235,'Results Input'!N236,'Results Input'!N237,'Results Input'!N238,'Results Input'!N239,'Results Input'!N240,'Results Input'!N241,'Results Input'!N242,'Results Input'!N243,'Results Input'!N244,'Results Input'!N245,'Results Input'!N246,'Results Input'!N247,'Results Input'!N248,'Results Input'!N249,'Results Input'!N250,'Results Input'!N251,'Results Input'!N252,'Results Input'!N253),"")</f>
        <v/>
      </c>
      <c r="F14" s="62">
        <f>IFERROR(AVERAGE('Results Input'!Q229,'Results Input'!Q230,'Results Input'!Q231,'Results Input'!Q232,'Results Input'!Q233,'Results Input'!Q234,'Results Input'!Q235,'Results Input'!Q236,'Results Input'!Q237,'Results Input'!Q238,'Results Input'!Q239,'Results Input'!Q240,'Results Input'!Q241,'Results Input'!Q242,'Results Input'!Q243,'Results Input'!Q244,'Results Input'!Q245,'Results Input'!Q246,'Results Input'!Q247,'Results Input'!Q248,'Results Input'!Q249,'Results Input'!Q250,'Results Input'!Q251,'Results Input'!Q252,'Results Input'!Q253),"")</f>
        <v/>
      </c>
      <c r="G14" s="62">
        <f>IFERROR(AVERAGE('Results Input'!R229,'Results Input'!R230,'Results Input'!R231,'Results Input'!R232,'Results Input'!R233,'Results Input'!R234,'Results Input'!R235,'Results Input'!R236,'Results Input'!R237,'Results Input'!R238,'Results Input'!R239,'Results Input'!R240,'Results Input'!R241,'Results Input'!R242,'Results Input'!R243,'Results Input'!R244,'Results Input'!R245,'Results Input'!R246,'Results Input'!R247,'Results Input'!R248,'Results Input'!R249,'Results Input'!R250,'Results Input'!R251,'Results Input'!R252,'Results Input'!R253),"")</f>
        <v/>
      </c>
    </row>
    <row r="15" ht="18" customHeight="1" s="66">
      <c r="A15" s="48" t="inlineStr">
        <is>
          <t>Adv RAG + LlamaIndex</t>
        </is>
      </c>
      <c r="B15" s="62">
        <f>IFERROR(AVERAGE('Results Input'!K329,'Results Input'!K330,'Results Input'!K331,'Results Input'!K332,'Results Input'!K333,'Results Input'!K334,'Results Input'!K335,'Results Input'!K336,'Results Input'!K337,'Results Input'!K338,'Results Input'!K339,'Results Input'!K340,'Results Input'!K341,'Results Input'!K342,'Results Input'!K343,'Results Input'!K344,'Results Input'!K345,'Results Input'!K346,'Results Input'!K347,'Results Input'!K348,'Results Input'!K349,'Results Input'!K350,'Results Input'!K351,'Results Input'!K352,'Results Input'!K353),"")</f>
        <v/>
      </c>
      <c r="C15" s="62">
        <f>IFERROR(AVERAGE('Results Input'!L329,'Results Input'!L330,'Results Input'!L331,'Results Input'!L332,'Results Input'!L333,'Results Input'!L334,'Results Input'!L335,'Results Input'!L336,'Results Input'!L337,'Results Input'!L338,'Results Input'!L339,'Results Input'!L340,'Results Input'!L341,'Results Input'!L342,'Results Input'!L343,'Results Input'!L344,'Results Input'!L345,'Results Input'!L346,'Results Input'!L347,'Results Input'!L348,'Results Input'!L349,'Results Input'!L350,'Results Input'!L351,'Results Input'!L352,'Results Input'!L353),"")</f>
        <v/>
      </c>
      <c r="D15" s="62">
        <f>IFERROR(AVERAGE('Results Input'!M329,'Results Input'!M330,'Results Input'!M331,'Results Input'!M332,'Results Input'!M333,'Results Input'!M334,'Results Input'!M335,'Results Input'!M336,'Results Input'!M337,'Results Input'!M338,'Results Input'!M339,'Results Input'!M340,'Results Input'!M341,'Results Input'!M342,'Results Input'!M343,'Results Input'!M344,'Results Input'!M345,'Results Input'!M346,'Results Input'!M347,'Results Input'!M348,'Results Input'!M349,'Results Input'!M350,'Results Input'!M351,'Results Input'!M352,'Results Input'!M353),"")</f>
        <v/>
      </c>
      <c r="E15" s="62">
        <f>IFERROR(AVERAGE('Results Input'!N329,'Results Input'!N330,'Results Input'!N331,'Results Input'!N332,'Results Input'!N333,'Results Input'!N334,'Results Input'!N335,'Results Input'!N336,'Results Input'!N337,'Results Input'!N338,'Results Input'!N339,'Results Input'!N340,'Results Input'!N341,'Results Input'!N342,'Results Input'!N343,'Results Input'!N344,'Results Input'!N345,'Results Input'!N346,'Results Input'!N347,'Results Input'!N348,'Results Input'!N349,'Results Input'!N350,'Results Input'!N351,'Results Input'!N352,'Results Input'!N353),"")</f>
        <v/>
      </c>
      <c r="F15" s="62">
        <f>IFERROR(AVERAGE('Results Input'!Q329,'Results Input'!Q330,'Results Input'!Q331,'Results Input'!Q332,'Results Input'!Q333,'Results Input'!Q334,'Results Input'!Q335,'Results Input'!Q336,'Results Input'!Q337,'Results Input'!Q338,'Results Input'!Q339,'Results Input'!Q340,'Results Input'!Q341,'Results Input'!Q342,'Results Input'!Q343,'Results Input'!Q344,'Results Input'!Q345,'Results Input'!Q346,'Results Input'!Q347,'Results Input'!Q348,'Results Input'!Q349,'Results Input'!Q350,'Results Input'!Q351,'Results Input'!Q352,'Results Input'!Q353),"")</f>
        <v/>
      </c>
      <c r="G15" s="62">
        <f>IFERROR(AVERAGE('Results Input'!R329,'Results Input'!R330,'Results Input'!R331,'Results Input'!R332,'Results Input'!R333,'Results Input'!R334,'Results Input'!R335,'Results Input'!R336,'Results Input'!R337,'Results Input'!R338,'Results Input'!R339,'Results Input'!R340,'Results Input'!R341,'Results Input'!R342,'Results Input'!R343,'Results Input'!R344,'Results Input'!R345,'Results Input'!R346,'Results Input'!R347,'Results Input'!R348,'Results Input'!R349,'Results Input'!R350,'Results Input'!R351,'Results Input'!R352,'Results Input'!R353),"")</f>
        <v/>
      </c>
    </row>
    <row r="17" ht="21.75" customHeight="1" s="66">
      <c r="A17" s="58" t="inlineStr">
        <is>
          <t>REASONING  (25 questions — form 10-K &amp; 10-Q)</t>
        </is>
      </c>
      <c r="B17" s="68" t="n"/>
      <c r="C17" s="68" t="n"/>
      <c r="D17" s="68" t="n"/>
      <c r="E17" s="68" t="n"/>
      <c r="F17" s="68" t="n"/>
      <c r="G17" s="69" t="n"/>
    </row>
    <row r="18" ht="27.75" customHeight="1" s="66">
      <c r="A18" s="7" t="inlineStr">
        <is>
          <t>System</t>
        </is>
      </c>
      <c r="B18" s="57" t="inlineStr">
        <is>
          <t>Faithfulness</t>
        </is>
      </c>
      <c r="C18" s="57" t="inlineStr">
        <is>
          <t>Ans Relevancy</t>
        </is>
      </c>
      <c r="D18" s="57" t="inlineStr">
        <is>
          <t>Hallucination↓</t>
        </is>
      </c>
      <c r="E18" s="58" t="inlineStr">
        <is>
          <t>F1 Token</t>
        </is>
      </c>
      <c r="F18" s="12" t="inlineStr">
        <is>
          <t>Task Completion</t>
        </is>
      </c>
      <c r="G18" s="12" t="inlineStr">
        <is>
          <t>Accuracy</t>
        </is>
      </c>
    </row>
    <row r="19" ht="18" customHeight="1" s="66">
      <c r="A19" s="14" t="inlineStr">
        <is>
          <t>Baseline RAG</t>
        </is>
      </c>
      <c r="B19" s="62">
        <f>IFERROR(AVERAGE('Results Input'!K54,'Results Input'!K55,'Results Input'!K56,'Results Input'!K57,'Results Input'!K58,'Results Input'!K59,'Results Input'!K60,'Results Input'!K61,'Results Input'!K62,'Results Input'!K63,'Results Input'!K64,'Results Input'!K65,'Results Input'!K66,'Results Input'!K67,'Results Input'!K68,'Results Input'!K69,'Results Input'!K70,'Results Input'!K71,'Results Input'!K72,'Results Input'!K73,'Results Input'!K74,'Results Input'!K75,'Results Input'!K76,'Results Input'!K77,'Results Input'!K78),"")</f>
        <v/>
      </c>
      <c r="C19" s="62">
        <f>IFERROR(AVERAGE('Results Input'!L54,'Results Input'!L55,'Results Input'!L56,'Results Input'!L57,'Results Input'!L58,'Results Input'!L59,'Results Input'!L60,'Results Input'!L61,'Results Input'!L62,'Results Input'!L63,'Results Input'!L64,'Results Input'!L65,'Results Input'!L66,'Results Input'!L67,'Results Input'!L68,'Results Input'!L69,'Results Input'!L70,'Results Input'!L71,'Results Input'!L72,'Results Input'!L73,'Results Input'!L74,'Results Input'!L75,'Results Input'!L76,'Results Input'!L77,'Results Input'!L78),"")</f>
        <v/>
      </c>
      <c r="D19" s="62">
        <f>IFERROR(AVERAGE('Results Input'!M54,'Results Input'!M55,'Results Input'!M56,'Results Input'!M57,'Results Input'!M58,'Results Input'!M59,'Results Input'!M60,'Results Input'!M61,'Results Input'!M62,'Results Input'!M63,'Results Input'!M64,'Results Input'!M65,'Results Input'!M66,'Results Input'!M67,'Results Input'!M68,'Results Input'!M69,'Results Input'!M70,'Results Input'!M71,'Results Input'!M72,'Results Input'!M73,'Results Input'!M74,'Results Input'!M75,'Results Input'!M76,'Results Input'!M77,'Results Input'!M78),"")</f>
        <v/>
      </c>
      <c r="E19" s="62">
        <f>IFERROR(AVERAGE('Results Input'!N54,'Results Input'!N55,'Results Input'!N56,'Results Input'!N57,'Results Input'!N58,'Results Input'!N59,'Results Input'!N60,'Results Input'!N61,'Results Input'!N62,'Results Input'!N63,'Results Input'!N64,'Results Input'!N65,'Results Input'!N66,'Results Input'!N67,'Results Input'!N68,'Results Input'!N69,'Results Input'!N70,'Results Input'!N71,'Results Input'!N72,'Results Input'!N73,'Results Input'!N74,'Results Input'!N75,'Results Input'!N76,'Results Input'!N77,'Results Input'!N78),"")</f>
        <v/>
      </c>
      <c r="F19" s="62">
        <f>IFERROR(AVERAGE('Results Input'!Q54,'Results Input'!Q55,'Results Input'!Q56,'Results Input'!Q57,'Results Input'!Q58,'Results Input'!Q59,'Results Input'!Q60,'Results Input'!Q61,'Results Input'!Q62,'Results Input'!Q63,'Results Input'!Q64,'Results Input'!Q65,'Results Input'!Q66,'Results Input'!Q67,'Results Input'!Q68,'Results Input'!Q69,'Results Input'!Q70,'Results Input'!Q71,'Results Input'!Q72,'Results Input'!Q73,'Results Input'!Q74,'Results Input'!Q75,'Results Input'!Q76,'Results Input'!Q77,'Results Input'!Q78),"")</f>
        <v/>
      </c>
      <c r="G19" s="62">
        <f>IFERROR(AVERAGE('Results Input'!R54,'Results Input'!R55,'Results Input'!R56,'Results Input'!R57,'Results Input'!R58,'Results Input'!R59,'Results Input'!R60,'Results Input'!R61,'Results Input'!R62,'Results Input'!R63,'Results Input'!R64,'Results Input'!R65,'Results Input'!R66,'Results Input'!R67,'Results Input'!R68,'Results Input'!R69,'Results Input'!R70,'Results Input'!R71,'Results Input'!R72,'Results Input'!R73,'Results Input'!R74,'Results Input'!R75,'Results Input'!R76,'Results Input'!R77,'Results Input'!R78),"")</f>
        <v/>
      </c>
    </row>
    <row r="20" ht="18" customHeight="1" s="66">
      <c r="A20" s="47" t="inlineStr">
        <is>
          <t>Adv RAG – Hybrid (BM25+Vector)</t>
        </is>
      </c>
      <c r="B20" s="62">
        <f>IFERROR(AVERAGE('Results Input'!K154,'Results Input'!K155,'Results Input'!K156,'Results Input'!K157,'Results Input'!K158,'Results Input'!K159,'Results Input'!K160,'Results Input'!K161,'Results Input'!K162,'Results Input'!K163,'Results Input'!K164,'Results Input'!K165,'Results Input'!K166,'Results Input'!K167,'Results Input'!K168,'Results Input'!K169,'Results Input'!K170,'Results Input'!K171,'Results Input'!K172,'Results Input'!K173,'Results Input'!K174,'Results Input'!K175,'Results Input'!K176,'Results Input'!K177,'Results Input'!K178),"")</f>
        <v/>
      </c>
      <c r="C20" s="62">
        <f>IFERROR(AVERAGE('Results Input'!L154,'Results Input'!L155,'Results Input'!L156,'Results Input'!L157,'Results Input'!L158,'Results Input'!L159,'Results Input'!L160,'Results Input'!L161,'Results Input'!L162,'Results Input'!L163,'Results Input'!L164,'Results Input'!L165,'Results Input'!L166,'Results Input'!L167,'Results Input'!L168,'Results Input'!L169,'Results Input'!L170,'Results Input'!L171,'Results Input'!L172,'Results Input'!L173,'Results Input'!L174,'Results Input'!L175,'Results Input'!L176,'Results Input'!L177,'Results Input'!L178),"")</f>
        <v/>
      </c>
      <c r="D20" s="62">
        <f>IFERROR(AVERAGE('Results Input'!M154,'Results Input'!M155,'Results Input'!M156,'Results Input'!M157,'Results Input'!M158,'Results Input'!M159,'Results Input'!M160,'Results Input'!M161,'Results Input'!M162,'Results Input'!M163,'Results Input'!M164,'Results Input'!M165,'Results Input'!M166,'Results Input'!M167,'Results Input'!M168,'Results Input'!M169,'Results Input'!M170,'Results Input'!M171,'Results Input'!M172,'Results Input'!M173,'Results Input'!M174,'Results Input'!M175,'Results Input'!M176,'Results Input'!M177,'Results Input'!M178),"")</f>
        <v/>
      </c>
      <c r="E20" s="62">
        <f>IFERROR(AVERAGE('Results Input'!N154,'Results Input'!N155,'Results Input'!N156,'Results Input'!N157,'Results Input'!N158,'Results Input'!N159,'Results Input'!N160,'Results Input'!N161,'Results Input'!N162,'Results Input'!N163,'Results Input'!N164,'Results Input'!N165,'Results Input'!N166,'Results Input'!N167,'Results Input'!N168,'Results Input'!N169,'Results Input'!N170,'Results Input'!N171,'Results Input'!N172,'Results Input'!N173,'Results Input'!N174,'Results Input'!N175,'Results Input'!N176,'Results Input'!N177,'Results Input'!N178),"")</f>
        <v/>
      </c>
      <c r="F20" s="62">
        <f>IFERROR(AVERAGE('Results Input'!Q154,'Results Input'!Q155,'Results Input'!Q156,'Results Input'!Q157,'Results Input'!Q158,'Results Input'!Q159,'Results Input'!Q160,'Results Input'!Q161,'Results Input'!Q162,'Results Input'!Q163,'Results Input'!Q164,'Results Input'!Q165,'Results Input'!Q166,'Results Input'!Q167,'Results Input'!Q168,'Results Input'!Q169,'Results Input'!Q170,'Results Input'!Q171,'Results Input'!Q172,'Results Input'!Q173,'Results Input'!Q174,'Results Input'!Q175,'Results Input'!Q176,'Results Input'!Q177,'Results Input'!Q178),"")</f>
        <v/>
      </c>
      <c r="G20" s="62">
        <f>IFERROR(AVERAGE('Results Input'!R154,'Results Input'!R155,'Results Input'!R156,'Results Input'!R157,'Results Input'!R158,'Results Input'!R159,'Results Input'!R160,'Results Input'!R161,'Results Input'!R162,'Results Input'!R163,'Results Input'!R164,'Results Input'!R165,'Results Input'!R166,'Results Input'!R167,'Results Input'!R168,'Results Input'!R169,'Results Input'!R170,'Results Input'!R171,'Results Input'!R172,'Results Input'!R173,'Results Input'!R174,'Results Input'!R175,'Results Input'!R176,'Results Input'!R177,'Results Input'!R178),"")</f>
        <v/>
      </c>
    </row>
    <row r="21" ht="18" customHeight="1" s="66">
      <c r="A21" s="26" t="inlineStr">
        <is>
          <t>Adv RAG +LangGraph</t>
        </is>
      </c>
      <c r="B21" s="62">
        <f>IFERROR(AVERAGE('Results Input'!K254,'Results Input'!K255,'Results Input'!K256,'Results Input'!K257,'Results Input'!K258,'Results Input'!K259,'Results Input'!K260,'Results Input'!K261,'Results Input'!K262,'Results Input'!K263,'Results Input'!K264,'Results Input'!K265,'Results Input'!K266,'Results Input'!K267,'Results Input'!K268,'Results Input'!K269,'Results Input'!K270,'Results Input'!K271,'Results Input'!K272,'Results Input'!K273,'Results Input'!K274,'Results Input'!K275,'Results Input'!K276,'Results Input'!K277,'Results Input'!K278),"")</f>
        <v/>
      </c>
      <c r="C21" s="62">
        <f>IFERROR(AVERAGE('Results Input'!L254,'Results Input'!L255,'Results Input'!L256,'Results Input'!L257,'Results Input'!L258,'Results Input'!L259,'Results Input'!L260,'Results Input'!L261,'Results Input'!L262,'Results Input'!L263,'Results Input'!L264,'Results Input'!L265,'Results Input'!L266,'Results Input'!L267,'Results Input'!L268,'Results Input'!L269,'Results Input'!L270,'Results Input'!L271,'Results Input'!L272,'Results Input'!L273,'Results Input'!L274,'Results Input'!L275,'Results Input'!L276,'Results Input'!L277,'Results Input'!L278),"")</f>
        <v/>
      </c>
      <c r="D21" s="62">
        <f>IFERROR(AVERAGE('Results Input'!M254,'Results Input'!M255,'Results Input'!M256,'Results Input'!M257,'Results Input'!M258,'Results Input'!M259,'Results Input'!M260,'Results Input'!M261,'Results Input'!M262,'Results Input'!M263,'Results Input'!M264,'Results Input'!M265,'Results Input'!M266,'Results Input'!M267,'Results Input'!M268,'Results Input'!M269,'Results Input'!M270,'Results Input'!M271,'Results Input'!M272,'Results Input'!M273,'Results Input'!M274,'Results Input'!M275,'Results Input'!M276,'Results Input'!M277,'Results Input'!M278),"")</f>
        <v/>
      </c>
      <c r="E21" s="62">
        <f>IFERROR(AVERAGE('Results Input'!N254,'Results Input'!N255,'Results Input'!N256,'Results Input'!N257,'Results Input'!N258,'Results Input'!N259,'Results Input'!N260,'Results Input'!N261,'Results Input'!N262,'Results Input'!N263,'Results Input'!N264,'Results Input'!N265,'Results Input'!N266,'Results Input'!N267,'Results Input'!N268,'Results Input'!N269,'Results Input'!N270,'Results Input'!N271,'Results Input'!N272,'Results Input'!N273,'Results Input'!N274,'Results Input'!N275,'Results Input'!N276,'Results Input'!N277,'Results Input'!N278),"")</f>
        <v/>
      </c>
      <c r="F21" s="62">
        <f>IFERROR(AVERAGE('Results Input'!Q254,'Results Input'!Q255,'Results Input'!Q256,'Results Input'!Q257,'Results Input'!Q258,'Results Input'!Q259,'Results Input'!Q260,'Results Input'!Q261,'Results Input'!Q262,'Results Input'!Q263,'Results Input'!Q264,'Results Input'!Q265,'Results Input'!Q266,'Results Input'!Q267,'Results Input'!Q268,'Results Input'!Q269,'Results Input'!Q270,'Results Input'!Q271,'Results Input'!Q272,'Results Input'!Q273,'Results Input'!Q274,'Results Input'!Q275,'Results Input'!Q276,'Results Input'!Q277,'Results Input'!Q278),"")</f>
        <v/>
      </c>
      <c r="G21" s="62">
        <f>IFERROR(AVERAGE('Results Input'!R254,'Results Input'!R255,'Results Input'!R256,'Results Input'!R257,'Results Input'!R258,'Results Input'!R259,'Results Input'!R260,'Results Input'!R261,'Results Input'!R262,'Results Input'!R263,'Results Input'!R264,'Results Input'!R265,'Results Input'!R266,'Results Input'!R267,'Results Input'!R268,'Results Input'!R269,'Results Input'!R270,'Results Input'!R271,'Results Input'!R272,'Results Input'!R273,'Results Input'!R274,'Results Input'!R275,'Results Input'!R276,'Results Input'!R277,'Results Input'!R278),"")</f>
        <v/>
      </c>
    </row>
    <row r="22" ht="18" customHeight="1" s="66">
      <c r="A22" s="48" t="inlineStr">
        <is>
          <t>Adv RAG + LlamaIndex</t>
        </is>
      </c>
      <c r="B22" s="62">
        <f>IFERROR(AVERAGE('Results Input'!K354,'Results Input'!K355,'Results Input'!K356,'Results Input'!K357,'Results Input'!K358,'Results Input'!K359,'Results Input'!K360,'Results Input'!K361,'Results Input'!K362,'Results Input'!K363,'Results Input'!K364,'Results Input'!K365,'Results Input'!K366,'Results Input'!K367,'Results Input'!K368,'Results Input'!K369,'Results Input'!K370,'Results Input'!K371,'Results Input'!K372,'Results Input'!K373,'Results Input'!K374,'Results Input'!K375,'Results Input'!K376,'Results Input'!K377,'Results Input'!K378),"")</f>
        <v/>
      </c>
      <c r="C22" s="62">
        <f>IFERROR(AVERAGE('Results Input'!L354,'Results Input'!L355,'Results Input'!L356,'Results Input'!L357,'Results Input'!L358,'Results Input'!L359,'Results Input'!L360,'Results Input'!L361,'Results Input'!L362,'Results Input'!L363,'Results Input'!L364,'Results Input'!L365,'Results Input'!L366,'Results Input'!L367,'Results Input'!L368,'Results Input'!L369,'Results Input'!L370,'Results Input'!L371,'Results Input'!L372,'Results Input'!L373,'Results Input'!L374,'Results Input'!L375,'Results Input'!L376,'Results Input'!L377,'Results Input'!L378),"")</f>
        <v/>
      </c>
      <c r="D22" s="62">
        <f>IFERROR(AVERAGE('Results Input'!M354,'Results Input'!M355,'Results Input'!M356,'Results Input'!M357,'Results Input'!M358,'Results Input'!M359,'Results Input'!M360,'Results Input'!M361,'Results Input'!M362,'Results Input'!M363,'Results Input'!M364,'Results Input'!M365,'Results Input'!M366,'Results Input'!M367,'Results Input'!M368,'Results Input'!M369,'Results Input'!M370,'Results Input'!M371,'Results Input'!M372,'Results Input'!M373,'Results Input'!M374,'Results Input'!M375,'Results Input'!M376,'Results Input'!M377,'Results Input'!M378),"")</f>
        <v/>
      </c>
      <c r="E22" s="62">
        <f>IFERROR(AVERAGE('Results Input'!N354,'Results Input'!N355,'Results Input'!N356,'Results Input'!N357,'Results Input'!N358,'Results Input'!N359,'Results Input'!N360,'Results Input'!N361,'Results Input'!N362,'Results Input'!N363,'Results Input'!N364,'Results Input'!N365,'Results Input'!N366,'Results Input'!N367,'Results Input'!N368,'Results Input'!N369,'Results Input'!N370,'Results Input'!N371,'Results Input'!N372,'Results Input'!N373,'Results Input'!N374,'Results Input'!N375,'Results Input'!N376,'Results Input'!N377,'Results Input'!N378),"")</f>
        <v/>
      </c>
      <c r="F22" s="62">
        <f>IFERROR(AVERAGE('Results Input'!Q354,'Results Input'!Q355,'Results Input'!Q356,'Results Input'!Q357,'Results Input'!Q358,'Results Input'!Q359,'Results Input'!Q360,'Results Input'!Q361,'Results Input'!Q362,'Results Input'!Q363,'Results Input'!Q364,'Results Input'!Q365,'Results Input'!Q366,'Results Input'!Q367,'Results Input'!Q368,'Results Input'!Q369,'Results Input'!Q370,'Results Input'!Q371,'Results Input'!Q372,'Results Input'!Q373,'Results Input'!Q374,'Results Input'!Q375,'Results Input'!Q376,'Results Input'!Q377,'Results Input'!Q378),"")</f>
        <v/>
      </c>
      <c r="G22" s="62">
        <f>IFERROR(AVERAGE('Results Input'!R354,'Results Input'!R355,'Results Input'!R356,'Results Input'!R357,'Results Input'!R358,'Results Input'!R359,'Results Input'!R360,'Results Input'!R361,'Results Input'!R362,'Results Input'!R363,'Results Input'!R364,'Results Input'!R365,'Results Input'!R366,'Results Input'!R367,'Results Input'!R368,'Results Input'!R369,'Results Input'!R370,'Results Input'!R371,'Results Input'!R372,'Results Input'!R373,'Results Input'!R374,'Results Input'!R375,'Results Input'!R376,'Results Input'!R377,'Results Input'!R378),"")</f>
        <v/>
      </c>
    </row>
    <row r="23" ht="15.75" customHeight="1" s="66"/>
    <row r="24" ht="21.75" customHeight="1" s="66">
      <c r="A24" s="42" t="inlineStr">
        <is>
          <t>HALLUCINATION  (25 questions — form 10-K &amp; 10-Q)</t>
        </is>
      </c>
      <c r="B24" s="68" t="n"/>
      <c r="C24" s="68" t="n"/>
      <c r="D24" s="68" t="n"/>
      <c r="E24" s="68" t="n"/>
      <c r="F24" s="68" t="n"/>
      <c r="G24" s="69" t="n"/>
    </row>
    <row r="25" ht="27.75" customHeight="1" s="66">
      <c r="A25" s="7" t="inlineStr">
        <is>
          <t>System</t>
        </is>
      </c>
      <c r="B25" s="57" t="inlineStr">
        <is>
          <t>Faithfulness</t>
        </is>
      </c>
      <c r="C25" s="57" t="inlineStr">
        <is>
          <t>Ans Relevancy</t>
        </is>
      </c>
      <c r="D25" s="57" t="inlineStr">
        <is>
          <t>Hallucination↓</t>
        </is>
      </c>
      <c r="E25" s="58" t="inlineStr">
        <is>
          <t>F1 Token</t>
        </is>
      </c>
      <c r="F25" s="12" t="inlineStr">
        <is>
          <t>Task Completion</t>
        </is>
      </c>
      <c r="G25" s="12" t="inlineStr">
        <is>
          <t>Accuracy</t>
        </is>
      </c>
    </row>
    <row r="26" ht="18" customHeight="1" s="66">
      <c r="A26" s="14" t="inlineStr">
        <is>
          <t>Baseline RAG</t>
        </is>
      </c>
      <c r="B26" s="62">
        <f>IFERROR(AVERAGE('Results Input'!K79,'Results Input'!K80,'Results Input'!K81,'Results Input'!K82,'Results Input'!K83,'Results Input'!K84,'Results Input'!K85,'Results Input'!K86,'Results Input'!K87,'Results Input'!K88,'Results Input'!K89,'Results Input'!K90,'Results Input'!K91,'Results Input'!K92,'Results Input'!K93,'Results Input'!K94,'Results Input'!K95,'Results Input'!K96,'Results Input'!K97,'Results Input'!K98,'Results Input'!K99,'Results Input'!K100,'Results Input'!K101,'Results Input'!K102,'Results Input'!K103),"")</f>
        <v/>
      </c>
      <c r="C26" s="62">
        <f>IFERROR(AVERAGE('Results Input'!L79,'Results Input'!L80,'Results Input'!L81,'Results Input'!L82,'Results Input'!L83,'Results Input'!L84,'Results Input'!L85,'Results Input'!L86,'Results Input'!L87,'Results Input'!L88,'Results Input'!L89,'Results Input'!L90,'Results Input'!L91,'Results Input'!L92,'Results Input'!L93,'Results Input'!L94,'Results Input'!L95,'Results Input'!L96,'Results Input'!L97,'Results Input'!L98,'Results Input'!L99,'Results Input'!L100,'Results Input'!L101,'Results Input'!L102,'Results Input'!L103),"")</f>
        <v/>
      </c>
      <c r="D26" s="62">
        <f>IFERROR(AVERAGE('Results Input'!M79,'Results Input'!M80,'Results Input'!M81,'Results Input'!M82,'Results Input'!M83,'Results Input'!M84,'Results Input'!M85,'Results Input'!M86,'Results Input'!M87,'Results Input'!M88,'Results Input'!M89,'Results Input'!M90,'Results Input'!M91,'Results Input'!M92,'Results Input'!M93,'Results Input'!M94,'Results Input'!M95,'Results Input'!M96,'Results Input'!M97,'Results Input'!M98,'Results Input'!M99,'Results Input'!M100,'Results Input'!M101,'Results Input'!M102,'Results Input'!M103),"")</f>
        <v/>
      </c>
      <c r="E26" s="62">
        <f>IFERROR(AVERAGE('Results Input'!N79,'Results Input'!N80,'Results Input'!N81,'Results Input'!N82,'Results Input'!N83,'Results Input'!N84,'Results Input'!N85,'Results Input'!N86,'Results Input'!N87,'Results Input'!N88,'Results Input'!N89,'Results Input'!N90,'Results Input'!N91,'Results Input'!N92,'Results Input'!N93,'Results Input'!N94,'Results Input'!N95,'Results Input'!N96,'Results Input'!N97,'Results Input'!N98,'Results Input'!N99,'Results Input'!N100,'Results Input'!N101,'Results Input'!N102,'Results Input'!N103),"")</f>
        <v/>
      </c>
      <c r="F26" s="62">
        <f>IFERROR(AVERAGE('Results Input'!Q79,'Results Input'!Q80,'Results Input'!Q81,'Results Input'!Q82,'Results Input'!Q83,'Results Input'!Q84,'Results Input'!Q85,'Results Input'!Q86,'Results Input'!Q87,'Results Input'!Q88,'Results Input'!Q89,'Results Input'!Q90,'Results Input'!Q91,'Results Input'!Q92,'Results Input'!Q93,'Results Input'!Q94,'Results Input'!Q95,'Results Input'!Q96,'Results Input'!Q97,'Results Input'!Q98,'Results Input'!Q99,'Results Input'!Q100,'Results Input'!Q101,'Results Input'!Q102,'Results Input'!Q103),"")</f>
        <v/>
      </c>
      <c r="G26" s="62">
        <f>IFERROR(AVERAGE('Results Input'!R79,'Results Input'!R80,'Results Input'!R81,'Results Input'!R82,'Results Input'!R83,'Results Input'!R84,'Results Input'!R85,'Results Input'!R86,'Results Input'!R87,'Results Input'!R88,'Results Input'!R89,'Results Input'!R90,'Results Input'!R91,'Results Input'!R92,'Results Input'!R93,'Results Input'!R94,'Results Input'!R95,'Results Input'!R96,'Results Input'!R97,'Results Input'!R98,'Results Input'!R99,'Results Input'!R100,'Results Input'!R101,'Results Input'!R102,'Results Input'!R103),"")</f>
        <v/>
      </c>
    </row>
    <row r="27" ht="18" customHeight="1" s="66">
      <c r="A27" s="47" t="inlineStr">
        <is>
          <t>Adv RAG – Hybrid (BM25+Vector)</t>
        </is>
      </c>
      <c r="B27" s="62">
        <f>IFERROR(AVERAGE('Results Input'!K179,'Results Input'!K180,'Results Input'!K181,'Results Input'!K182,'Results Input'!K183,'Results Input'!K184,'Results Input'!K185,'Results Input'!K186,'Results Input'!K187,'Results Input'!K188,'Results Input'!K189,'Results Input'!K190,'Results Input'!K191,'Results Input'!K192,'Results Input'!K193,'Results Input'!K194,'Results Input'!K195,'Results Input'!K196,'Results Input'!K197,'Results Input'!K198,'Results Input'!K199,'Results Input'!K200,'Results Input'!K201,'Results Input'!K202,'Results Input'!K203),"")</f>
        <v/>
      </c>
      <c r="C27" s="62">
        <f>IFERROR(AVERAGE('Results Input'!L179,'Results Input'!L180,'Results Input'!L181,'Results Input'!L182,'Results Input'!L183,'Results Input'!L184,'Results Input'!L185,'Results Input'!L186,'Results Input'!L187,'Results Input'!L188,'Results Input'!L189,'Results Input'!L190,'Results Input'!L191,'Results Input'!L192,'Results Input'!L193,'Results Input'!L194,'Results Input'!L195,'Results Input'!L196,'Results Input'!L197,'Results Input'!L198,'Results Input'!L199,'Results Input'!L200,'Results Input'!L201,'Results Input'!L202,'Results Input'!L203),"")</f>
        <v/>
      </c>
      <c r="D27" s="62">
        <f>IFERROR(AVERAGE('Results Input'!M179,'Results Input'!M180,'Results Input'!M181,'Results Input'!M182,'Results Input'!M183,'Results Input'!M184,'Results Input'!M185,'Results Input'!M186,'Results Input'!M187,'Results Input'!M188,'Results Input'!M189,'Results Input'!M190,'Results Input'!M191,'Results Input'!M192,'Results Input'!M193,'Results Input'!M194,'Results Input'!M195,'Results Input'!M196,'Results Input'!M197,'Results Input'!M198,'Results Input'!M199,'Results Input'!M200,'Results Input'!M201,'Results Input'!M202,'Results Input'!M203),"")</f>
        <v/>
      </c>
      <c r="E27" s="62">
        <f>IFERROR(AVERAGE('Results Input'!N179,'Results Input'!N180,'Results Input'!N181,'Results Input'!N182,'Results Input'!N183,'Results Input'!N184,'Results Input'!N185,'Results Input'!N186,'Results Input'!N187,'Results Input'!N188,'Results Input'!N189,'Results Input'!N190,'Results Input'!N191,'Results Input'!N192,'Results Input'!N193,'Results Input'!N194,'Results Input'!N195,'Results Input'!N196,'Results Input'!N197,'Results Input'!N198,'Results Input'!N199,'Results Input'!N200,'Results Input'!N201,'Results Input'!N202,'Results Input'!N203),"")</f>
        <v/>
      </c>
      <c r="F27" s="62">
        <f>IFERROR(AVERAGE('Results Input'!Q179,'Results Input'!Q180,'Results Input'!Q181,'Results Input'!Q182,'Results Input'!Q183,'Results Input'!Q184,'Results Input'!Q185,'Results Input'!Q186,'Results Input'!Q187,'Results Input'!Q188,'Results Input'!Q189,'Results Input'!Q190,'Results Input'!Q191,'Results Input'!Q192,'Results Input'!Q193,'Results Input'!Q194,'Results Input'!Q195,'Results Input'!Q196,'Results Input'!Q197,'Results Input'!Q198,'Results Input'!Q199,'Results Input'!Q200,'Results Input'!Q201,'Results Input'!Q202,'Results Input'!Q203),"")</f>
        <v/>
      </c>
      <c r="G27" s="62">
        <f>IFERROR(AVERAGE('Results Input'!R179,'Results Input'!R180,'Results Input'!R181,'Results Input'!R182,'Results Input'!R183,'Results Input'!R184,'Results Input'!R185,'Results Input'!R186,'Results Input'!R187,'Results Input'!R188,'Results Input'!R189,'Results Input'!R190,'Results Input'!R191,'Results Input'!R192,'Results Input'!R193,'Results Input'!R194,'Results Input'!R195,'Results Input'!R196,'Results Input'!R197,'Results Input'!R198,'Results Input'!R199,'Results Input'!R200,'Results Input'!R201,'Results Input'!R202,'Results Input'!R203),"")</f>
        <v/>
      </c>
    </row>
    <row r="28" ht="18" customHeight="1" s="66">
      <c r="A28" s="26" t="inlineStr">
        <is>
          <t>Adv RAG +LangGraph</t>
        </is>
      </c>
      <c r="B28" s="62">
        <f>IFERROR(AVERAGE('Results Input'!K279,'Results Input'!K280,'Results Input'!K281,'Results Input'!K282,'Results Input'!K283,'Results Input'!K284,'Results Input'!K285,'Results Input'!K286,'Results Input'!K287,'Results Input'!K288,'Results Input'!K289,'Results Input'!K290,'Results Input'!K291,'Results Input'!K292,'Results Input'!K293,'Results Input'!K294,'Results Input'!K295,'Results Input'!K296,'Results Input'!K297,'Results Input'!K298,'Results Input'!K299,'Results Input'!K300,'Results Input'!K301,'Results Input'!K302,'Results Input'!K303),"")</f>
        <v/>
      </c>
      <c r="C28" s="62">
        <f>IFERROR(AVERAGE('Results Input'!L279,'Results Input'!L280,'Results Input'!L281,'Results Input'!L282,'Results Input'!L283,'Results Input'!L284,'Results Input'!L285,'Results Input'!L286,'Results Input'!L287,'Results Input'!L288,'Results Input'!L289,'Results Input'!L290,'Results Input'!L291,'Results Input'!L292,'Results Input'!L293,'Results Input'!L294,'Results Input'!L295,'Results Input'!L296,'Results Input'!L297,'Results Input'!L298,'Results Input'!L299,'Results Input'!L300,'Results Input'!L301,'Results Input'!L302,'Results Input'!L303),"")</f>
        <v/>
      </c>
      <c r="D28" s="62">
        <f>IFERROR(AVERAGE('Results Input'!M279,'Results Input'!M280,'Results Input'!M281,'Results Input'!M282,'Results Input'!M283,'Results Input'!M284,'Results Input'!M285,'Results Input'!M286,'Results Input'!M287,'Results Input'!M288,'Results Input'!M289,'Results Input'!M290,'Results Input'!M291,'Results Input'!M292,'Results Input'!M293,'Results Input'!M294,'Results Input'!M295,'Results Input'!M296,'Results Input'!M297,'Results Input'!M298,'Results Input'!M299,'Results Input'!M300,'Results Input'!M301,'Results Input'!M302,'Results Input'!M303),"")</f>
        <v/>
      </c>
      <c r="E28" s="62">
        <f>IFERROR(AVERAGE('Results Input'!N279,'Results Input'!N280,'Results Input'!N281,'Results Input'!N282,'Results Input'!N283,'Results Input'!N284,'Results Input'!N285,'Results Input'!N286,'Results Input'!N287,'Results Input'!N288,'Results Input'!N289,'Results Input'!N290,'Results Input'!N291,'Results Input'!N292,'Results Input'!N293,'Results Input'!N294,'Results Input'!N295,'Results Input'!N296,'Results Input'!N297,'Results Input'!N298,'Results Input'!N299,'Results Input'!N300,'Results Input'!N301,'Results Input'!N302,'Results Input'!N303),"")</f>
        <v/>
      </c>
      <c r="F28" s="62">
        <f>IFERROR(AVERAGE('Results Input'!Q279,'Results Input'!Q280,'Results Input'!Q281,'Results Input'!Q282,'Results Input'!Q283,'Results Input'!Q284,'Results Input'!Q285,'Results Input'!Q286,'Results Input'!Q287,'Results Input'!Q288,'Results Input'!Q289,'Results Input'!Q290,'Results Input'!Q291,'Results Input'!Q292,'Results Input'!Q293,'Results Input'!Q294,'Results Input'!Q295,'Results Input'!Q296,'Results Input'!Q297,'Results Input'!Q298,'Results Input'!Q299,'Results Input'!Q300,'Results Input'!Q301,'Results Input'!Q302,'Results Input'!Q303),"")</f>
        <v/>
      </c>
      <c r="G28" s="62">
        <f>IFERROR(AVERAGE('Results Input'!R279,'Results Input'!R280,'Results Input'!R281,'Results Input'!R282,'Results Input'!R283,'Results Input'!R284,'Results Input'!R285,'Results Input'!R286,'Results Input'!R287,'Results Input'!R288,'Results Input'!R289,'Results Input'!R290,'Results Input'!R291,'Results Input'!R292,'Results Input'!R293,'Results Input'!R294,'Results Input'!R295,'Results Input'!R296,'Results Input'!R297,'Results Input'!R298,'Results Input'!R299,'Results Input'!R300,'Results Input'!R301,'Results Input'!R302,'Results Input'!R303),"")</f>
        <v/>
      </c>
    </row>
    <row r="29" ht="18" customHeight="1" s="66">
      <c r="A29" s="48" t="inlineStr">
        <is>
          <t>Adv RAG + LlamaIndex</t>
        </is>
      </c>
      <c r="B29" s="62">
        <f>IFERROR(AVERAGE('Results Input'!K379,'Results Input'!K380,'Results Input'!K381,'Results Input'!K382,'Results Input'!K383,'Results Input'!K384,'Results Input'!K385,'Results Input'!K386,'Results Input'!K387,'Results Input'!K388,'Results Input'!K389,'Results Input'!K390,'Results Input'!K391,'Results Input'!K392,'Results Input'!K393,'Results Input'!K394,'Results Input'!K395,'Results Input'!K396,'Results Input'!K397,'Results Input'!K398,'Results Input'!K399,'Results Input'!K400,'Results Input'!K401,'Results Input'!K402,'Results Input'!K403),"")</f>
        <v/>
      </c>
      <c r="C29" s="62">
        <f>IFERROR(AVERAGE('Results Input'!L379,'Results Input'!L380,'Results Input'!L381,'Results Input'!L382,'Results Input'!L383,'Results Input'!L384,'Results Input'!L385,'Results Input'!L386,'Results Input'!L387,'Results Input'!L388,'Results Input'!L389,'Results Input'!L390,'Results Input'!L391,'Results Input'!L392,'Results Input'!L393,'Results Input'!L394,'Results Input'!L395,'Results Input'!L396,'Results Input'!L397,'Results Input'!L398,'Results Input'!L399,'Results Input'!L400,'Results Input'!L401,'Results Input'!L402,'Results Input'!L403),"")</f>
        <v/>
      </c>
      <c r="D29" s="62">
        <f>IFERROR(AVERAGE('Results Input'!M379,'Results Input'!M380,'Results Input'!M381,'Results Input'!M382,'Results Input'!M383,'Results Input'!M384,'Results Input'!M385,'Results Input'!M386,'Results Input'!M387,'Results Input'!M388,'Results Input'!M389,'Results Input'!M390,'Results Input'!M391,'Results Input'!M392,'Results Input'!M393,'Results Input'!M394,'Results Input'!M395,'Results Input'!M396,'Results Input'!M397,'Results Input'!M398,'Results Input'!M399,'Results Input'!M400,'Results Input'!M401,'Results Input'!M402,'Results Input'!M403),"")</f>
        <v/>
      </c>
      <c r="E29" s="62">
        <f>IFERROR(AVERAGE('Results Input'!N379,'Results Input'!N380,'Results Input'!N381,'Results Input'!N382,'Results Input'!N383,'Results Input'!N384,'Results Input'!N385,'Results Input'!N386,'Results Input'!N387,'Results Input'!N388,'Results Input'!N389,'Results Input'!N390,'Results Input'!N391,'Results Input'!N392,'Results Input'!N393,'Results Input'!N394,'Results Input'!N395,'Results Input'!N396,'Results Input'!N397,'Results Input'!N398,'Results Input'!N399,'Results Input'!N400,'Results Input'!N401,'Results Input'!N402,'Results Input'!N403),"")</f>
        <v/>
      </c>
      <c r="F29" s="62">
        <f>IFERROR(AVERAGE('Results Input'!Q379,'Results Input'!Q380,'Results Input'!Q381,'Results Input'!Q382,'Results Input'!Q383,'Results Input'!Q384,'Results Input'!Q385,'Results Input'!Q386,'Results Input'!Q387,'Results Input'!Q388,'Results Input'!Q389,'Results Input'!Q390,'Results Input'!Q391,'Results Input'!Q392,'Results Input'!Q393,'Results Input'!Q394,'Results Input'!Q395,'Results Input'!Q396,'Results Input'!Q397,'Results Input'!Q398,'Results Input'!Q399,'Results Input'!Q400,'Results Input'!Q401,'Results Input'!Q402,'Results Input'!Q403),"")</f>
        <v/>
      </c>
      <c r="G29" s="62">
        <f>IFERROR(AVERAGE('Results Input'!R379,'Results Input'!R380,'Results Input'!R381,'Results Input'!R382,'Results Input'!R383,'Results Input'!R384,'Results Input'!R385,'Results Input'!R386,'Results Input'!R387,'Results Input'!R388,'Results Input'!R389,'Results Input'!R390,'Results Input'!R391,'Results Input'!R392,'Results Input'!R393,'Results Input'!R394,'Results Input'!R395,'Results Input'!R396,'Results Input'!R397,'Results Input'!R398,'Results Input'!R399,'Results Input'!R400,'Results Input'!R401,'Results Input'!R402,'Results Input'!R403),"")</f>
        <v/>
      </c>
    </row>
    <row r="30" ht="15.75" customHeight="1" s="66"/>
    <row r="31" ht="15.75" customHeight="1" s="66"/>
    <row r="32" ht="15.75" customHeight="1" s="66"/>
    <row r="33" ht="15.75" customHeight="1" s="66"/>
    <row r="34" ht="15.75" customHeight="1" s="66"/>
    <row r="35" ht="15.75" customHeight="1" s="66"/>
    <row r="36" ht="15.75" customHeight="1" s="66"/>
    <row r="37" ht="15.75" customHeight="1" s="66"/>
    <row r="38" ht="15.75" customHeight="1" s="66"/>
    <row r="39" ht="15.75" customHeight="1" s="66"/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</sheetData>
  <mergeCells count="6">
    <mergeCell ref="A1:G1"/>
    <mergeCell ref="A17:G17"/>
    <mergeCell ref="A3:G3"/>
    <mergeCell ref="A24:G24"/>
    <mergeCell ref="A2:G2"/>
    <mergeCell ref="A10:G10"/>
  </mergeCells>
  <conditionalFormatting sqref="B5">
    <cfRule type="colorScale" priority="1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5">
    <cfRule type="colorScale" priority="2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5">
    <cfRule type="colorScale" priority="3">
      <colorScale>
        <cfvo type="formula" val="0"/>
        <cfvo type="formula" val="0.5"/>
        <cfvo type="formula" val="1"/>
        <color rgb="FFE1F5EE"/>
        <color rgb="FFFAEEDA"/>
        <color rgb="FFFCEBEB"/>
      </colorScale>
    </cfRule>
  </conditionalFormatting>
  <conditionalFormatting sqref="E5">
    <cfRule type="colorScale" priority="4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F5">
    <cfRule type="colorScale" priority="5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G5">
    <cfRule type="colorScale" priority="6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B6">
    <cfRule type="colorScale" priority="7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6">
    <cfRule type="colorScale" priority="8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6">
    <cfRule type="colorScale" priority="9">
      <colorScale>
        <cfvo type="formula" val="0"/>
        <cfvo type="formula" val="0.5"/>
        <cfvo type="formula" val="1"/>
        <color rgb="FFE1F5EE"/>
        <color rgb="FFFAEEDA"/>
        <color rgb="FFFCEBEB"/>
      </colorScale>
    </cfRule>
  </conditionalFormatting>
  <conditionalFormatting sqref="E6">
    <cfRule type="colorScale" priority="10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F6">
    <cfRule type="colorScale" priority="11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G6">
    <cfRule type="colorScale" priority="12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B7">
    <cfRule type="colorScale" priority="13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7">
    <cfRule type="colorScale" priority="14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7">
    <cfRule type="colorScale" priority="15">
      <colorScale>
        <cfvo type="formula" val="0"/>
        <cfvo type="formula" val="0.5"/>
        <cfvo type="formula" val="1"/>
        <color rgb="FFE1F5EE"/>
        <color rgb="FFFAEEDA"/>
        <color rgb="FFFCEBEB"/>
      </colorScale>
    </cfRule>
  </conditionalFormatting>
  <conditionalFormatting sqref="E7">
    <cfRule type="colorScale" priority="16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F7">
    <cfRule type="colorScale" priority="17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G7">
    <cfRule type="colorScale" priority="18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B8">
    <cfRule type="colorScale" priority="19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8">
    <cfRule type="colorScale" priority="20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8">
    <cfRule type="colorScale" priority="21">
      <colorScale>
        <cfvo type="formula" val="0"/>
        <cfvo type="formula" val="0.5"/>
        <cfvo type="formula" val="1"/>
        <color rgb="FFE1F5EE"/>
        <color rgb="FFFAEEDA"/>
        <color rgb="FFFCEBEB"/>
      </colorScale>
    </cfRule>
  </conditionalFormatting>
  <conditionalFormatting sqref="E8">
    <cfRule type="colorScale" priority="22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F8">
    <cfRule type="colorScale" priority="23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G8">
    <cfRule type="colorScale" priority="24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B12">
    <cfRule type="colorScale" priority="25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12">
    <cfRule type="colorScale" priority="26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12">
    <cfRule type="colorScale" priority="27">
      <colorScale>
        <cfvo type="formula" val="0"/>
        <cfvo type="formula" val="0.5"/>
        <cfvo type="formula" val="1"/>
        <color rgb="FFE1F5EE"/>
        <color rgb="FFFAEEDA"/>
        <color rgb="FFFCEBEB"/>
      </colorScale>
    </cfRule>
  </conditionalFormatting>
  <conditionalFormatting sqref="E12">
    <cfRule type="colorScale" priority="28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F12">
    <cfRule type="colorScale" priority="29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G12">
    <cfRule type="colorScale" priority="30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B13">
    <cfRule type="colorScale" priority="31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13">
    <cfRule type="colorScale" priority="32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13">
    <cfRule type="colorScale" priority="33">
      <colorScale>
        <cfvo type="formula" val="0"/>
        <cfvo type="formula" val="0.5"/>
        <cfvo type="formula" val="1"/>
        <color rgb="FFE1F5EE"/>
        <color rgb="FFFAEEDA"/>
        <color rgb="FFFCEBEB"/>
      </colorScale>
    </cfRule>
  </conditionalFormatting>
  <conditionalFormatting sqref="E13">
    <cfRule type="colorScale" priority="34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F13">
    <cfRule type="colorScale" priority="35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G13">
    <cfRule type="colorScale" priority="36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B14">
    <cfRule type="colorScale" priority="37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14">
    <cfRule type="colorScale" priority="38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14">
    <cfRule type="colorScale" priority="39">
      <colorScale>
        <cfvo type="formula" val="0"/>
        <cfvo type="formula" val="0.5"/>
        <cfvo type="formula" val="1"/>
        <color rgb="FFE1F5EE"/>
        <color rgb="FFFAEEDA"/>
        <color rgb="FFFCEBEB"/>
      </colorScale>
    </cfRule>
  </conditionalFormatting>
  <conditionalFormatting sqref="E14">
    <cfRule type="colorScale" priority="40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F14">
    <cfRule type="colorScale" priority="41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G14">
    <cfRule type="colorScale" priority="42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B15">
    <cfRule type="colorScale" priority="43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15">
    <cfRule type="colorScale" priority="44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15">
    <cfRule type="colorScale" priority="45">
      <colorScale>
        <cfvo type="formula" val="0"/>
        <cfvo type="formula" val="0.5"/>
        <cfvo type="formula" val="1"/>
        <color rgb="FFE1F5EE"/>
        <color rgb="FFFAEEDA"/>
        <color rgb="FFFCEBEB"/>
      </colorScale>
    </cfRule>
  </conditionalFormatting>
  <conditionalFormatting sqref="E15">
    <cfRule type="colorScale" priority="46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F15">
    <cfRule type="colorScale" priority="47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G15">
    <cfRule type="colorScale" priority="48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B19">
    <cfRule type="colorScale" priority="49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19">
    <cfRule type="colorScale" priority="50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19">
    <cfRule type="colorScale" priority="51">
      <colorScale>
        <cfvo type="formula" val="0"/>
        <cfvo type="formula" val="0.5"/>
        <cfvo type="formula" val="1"/>
        <color rgb="FFE1F5EE"/>
        <color rgb="FFFAEEDA"/>
        <color rgb="FFFCEBEB"/>
      </colorScale>
    </cfRule>
  </conditionalFormatting>
  <conditionalFormatting sqref="E19">
    <cfRule type="colorScale" priority="52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F19">
    <cfRule type="colorScale" priority="53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G19">
    <cfRule type="colorScale" priority="54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B20">
    <cfRule type="colorScale" priority="55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20">
    <cfRule type="colorScale" priority="56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20">
    <cfRule type="colorScale" priority="57">
      <colorScale>
        <cfvo type="formula" val="0"/>
        <cfvo type="formula" val="0.5"/>
        <cfvo type="formula" val="1"/>
        <color rgb="FFE1F5EE"/>
        <color rgb="FFFAEEDA"/>
        <color rgb="FFFCEBEB"/>
      </colorScale>
    </cfRule>
  </conditionalFormatting>
  <conditionalFormatting sqref="E20">
    <cfRule type="colorScale" priority="58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F20">
    <cfRule type="colorScale" priority="59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G20">
    <cfRule type="colorScale" priority="60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B21">
    <cfRule type="colorScale" priority="61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21">
    <cfRule type="colorScale" priority="62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21">
    <cfRule type="colorScale" priority="63">
      <colorScale>
        <cfvo type="formula" val="0"/>
        <cfvo type="formula" val="0.5"/>
        <cfvo type="formula" val="1"/>
        <color rgb="FFE1F5EE"/>
        <color rgb="FFFAEEDA"/>
        <color rgb="FFFCEBEB"/>
      </colorScale>
    </cfRule>
  </conditionalFormatting>
  <conditionalFormatting sqref="E21">
    <cfRule type="colorScale" priority="64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F21">
    <cfRule type="colorScale" priority="65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G21">
    <cfRule type="colorScale" priority="66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B22">
    <cfRule type="colorScale" priority="67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22">
    <cfRule type="colorScale" priority="68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22">
    <cfRule type="colorScale" priority="69">
      <colorScale>
        <cfvo type="formula" val="0"/>
        <cfvo type="formula" val="0.5"/>
        <cfvo type="formula" val="1"/>
        <color rgb="FFE1F5EE"/>
        <color rgb="FFFAEEDA"/>
        <color rgb="FFFCEBEB"/>
      </colorScale>
    </cfRule>
  </conditionalFormatting>
  <conditionalFormatting sqref="E22">
    <cfRule type="colorScale" priority="70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F22">
    <cfRule type="colorScale" priority="71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G22">
    <cfRule type="colorScale" priority="72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B26">
    <cfRule type="colorScale" priority="73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26">
    <cfRule type="colorScale" priority="74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26">
    <cfRule type="colorScale" priority="75">
      <colorScale>
        <cfvo type="formula" val="0"/>
        <cfvo type="formula" val="0.5"/>
        <cfvo type="formula" val="1"/>
        <color rgb="FFE1F5EE"/>
        <color rgb="FFFAEEDA"/>
        <color rgb="FFFCEBEB"/>
      </colorScale>
    </cfRule>
  </conditionalFormatting>
  <conditionalFormatting sqref="E26">
    <cfRule type="colorScale" priority="76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F26">
    <cfRule type="colorScale" priority="77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G26">
    <cfRule type="colorScale" priority="78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B27">
    <cfRule type="colorScale" priority="79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27">
    <cfRule type="colorScale" priority="80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27">
    <cfRule type="colorScale" priority="81">
      <colorScale>
        <cfvo type="formula" val="0"/>
        <cfvo type="formula" val="0.5"/>
        <cfvo type="formula" val="1"/>
        <color rgb="FFE1F5EE"/>
        <color rgb="FFFAEEDA"/>
        <color rgb="FFFCEBEB"/>
      </colorScale>
    </cfRule>
  </conditionalFormatting>
  <conditionalFormatting sqref="E27">
    <cfRule type="colorScale" priority="82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F27">
    <cfRule type="colorScale" priority="83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G27">
    <cfRule type="colorScale" priority="84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B28">
    <cfRule type="colorScale" priority="85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28">
    <cfRule type="colorScale" priority="86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28">
    <cfRule type="colorScale" priority="87">
      <colorScale>
        <cfvo type="formula" val="0"/>
        <cfvo type="formula" val="0.5"/>
        <cfvo type="formula" val="1"/>
        <color rgb="FFE1F5EE"/>
        <color rgb="FFFAEEDA"/>
        <color rgb="FFFCEBEB"/>
      </colorScale>
    </cfRule>
  </conditionalFormatting>
  <conditionalFormatting sqref="E28">
    <cfRule type="colorScale" priority="88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F28">
    <cfRule type="colorScale" priority="89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G28">
    <cfRule type="colorScale" priority="90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B29">
    <cfRule type="colorScale" priority="91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C29">
    <cfRule type="colorScale" priority="92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D29">
    <cfRule type="colorScale" priority="93">
      <colorScale>
        <cfvo type="formula" val="0"/>
        <cfvo type="formula" val="0.5"/>
        <cfvo type="formula" val="1"/>
        <color rgb="FFE1F5EE"/>
        <color rgb="FFFAEEDA"/>
        <color rgb="FFFCEBEB"/>
      </colorScale>
    </cfRule>
  </conditionalFormatting>
  <conditionalFormatting sqref="E29">
    <cfRule type="colorScale" priority="94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F29">
    <cfRule type="colorScale" priority="95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conditionalFormatting sqref="G29">
    <cfRule type="colorScale" priority="96">
      <colorScale>
        <cfvo type="formula" val="0"/>
        <cfvo type="formula" val="0.5"/>
        <cfvo type="formula" val="1"/>
        <color rgb="FFFCEBEB"/>
        <color rgb="FFFAEEDA"/>
        <color rgb="FFE1F5EE"/>
      </colorScale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2026-03-13T16:26:18Z</dcterms:created>
  <dcterms:modified xmlns:dcterms="http://purl.org/dc/terms/" xmlns:xsi="http://www.w3.org/2001/XMLSchema-instance" xsi:type="dcterms:W3CDTF">2026-03-20T06:24:08Z</dcterms:modified>
</cp:coreProperties>
</file>